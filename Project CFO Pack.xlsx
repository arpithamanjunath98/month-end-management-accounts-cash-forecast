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rpitha/Desktop/P3/"/>
    </mc:Choice>
  </mc:AlternateContent>
  <xr:revisionPtr revIDLastSave="0" documentId="13_ncr:1_{559E4CDE-5634-4C47-B0F4-8C4586C7449F}" xr6:coauthVersionLast="47" xr6:coauthVersionMax="47" xr10:uidLastSave="{00000000-0000-0000-0000-000000000000}"/>
  <bookViews>
    <workbookView xWindow="0" yWindow="660" windowWidth="29400" windowHeight="16980" activeTab="8" xr2:uid="{00000000-000D-0000-FFFF-FFFF00000000}"/>
  </bookViews>
  <sheets>
    <sheet name="README" sheetId="1" r:id="rId1"/>
    <sheet name="Source Inputs" sheetId="2" r:id="rId2"/>
    <sheet name="Variance Investigation" sheetId="3" r:id="rId3"/>
    <sheet name="BS Reconciliation Pack" sheetId="4" r:id="rId4"/>
    <sheet name="Working Capital Actions" sheetId="5" r:id="rId5"/>
    <sheet name="Cash Scenarios" sheetId="6" r:id="rId6"/>
    <sheet name="CFO Commentary" sheetId="7" r:id="rId7"/>
    <sheet name="CFO Management Pack" sheetId="8" r:id="rId8"/>
    <sheet name="Portfolio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9" l="1"/>
  <c r="J17" i="9"/>
  <c r="J16" i="9"/>
  <c r="J15" i="9"/>
  <c r="C29" i="8"/>
  <c r="C28" i="8"/>
  <c r="C27" i="8"/>
  <c r="C26" i="8"/>
  <c r="C25" i="8"/>
  <c r="J10" i="8"/>
  <c r="A10" i="8"/>
  <c r="J6" i="8"/>
  <c r="D6" i="8"/>
  <c r="A6" i="8"/>
  <c r="A21" i="7"/>
  <c r="A16" i="7"/>
  <c r="G26" i="6"/>
  <c r="B26" i="6"/>
  <c r="G25" i="6"/>
  <c r="B25" i="6"/>
  <c r="G24" i="6"/>
  <c r="B24" i="6"/>
  <c r="G23" i="6"/>
  <c r="B23" i="6"/>
  <c r="G22" i="6"/>
  <c r="B22" i="6"/>
  <c r="G21" i="6"/>
  <c r="B21" i="6"/>
  <c r="G20" i="6"/>
  <c r="B20" i="6"/>
  <c r="G19" i="6"/>
  <c r="B19" i="6"/>
  <c r="G18" i="6"/>
  <c r="B18" i="6"/>
  <c r="G17" i="6"/>
  <c r="B17" i="6"/>
  <c r="G16" i="6"/>
  <c r="B16" i="6"/>
  <c r="G15" i="6"/>
  <c r="B15" i="6"/>
  <c r="G14" i="6"/>
  <c r="F14" i="6"/>
  <c r="F15" i="6" s="1"/>
  <c r="E14" i="6"/>
  <c r="D14" i="6"/>
  <c r="C14" i="6"/>
  <c r="C15" i="6" s="1"/>
  <c r="B14" i="6"/>
  <c r="B10" i="5"/>
  <c r="F9" i="5"/>
  <c r="B9" i="5"/>
  <c r="D9" i="5" s="1"/>
  <c r="B8" i="5"/>
  <c r="B7" i="5"/>
  <c r="B6" i="5"/>
  <c r="B23" i="4"/>
  <c r="C15" i="4"/>
  <c r="B15" i="4"/>
  <c r="D15" i="4" s="1"/>
  <c r="E15" i="4" s="1"/>
  <c r="C14" i="4"/>
  <c r="B14" i="4"/>
  <c r="D14" i="4" s="1"/>
  <c r="E14" i="4" s="1"/>
  <c r="C13" i="4"/>
  <c r="B13" i="4"/>
  <c r="D13" i="4" s="1"/>
  <c r="E13" i="4" s="1"/>
  <c r="C12" i="4"/>
  <c r="B12" i="4"/>
  <c r="D12" i="4" s="1"/>
  <c r="E12" i="4" s="1"/>
  <c r="D11" i="4"/>
  <c r="E11" i="4" s="1"/>
  <c r="C11" i="4"/>
  <c r="B11" i="4"/>
  <c r="C10" i="4"/>
  <c r="B10" i="4"/>
  <c r="D10" i="4" s="1"/>
  <c r="E10" i="4" s="1"/>
  <c r="C9" i="4"/>
  <c r="B9" i="4"/>
  <c r="D9" i="4" s="1"/>
  <c r="E9" i="4" s="1"/>
  <c r="C8" i="4"/>
  <c r="B8" i="4"/>
  <c r="D8" i="4" s="1"/>
  <c r="E8" i="4" s="1"/>
  <c r="C7" i="4"/>
  <c r="B7" i="4"/>
  <c r="D7" i="4" s="1"/>
  <c r="E7" i="4" s="1"/>
  <c r="C6" i="4"/>
  <c r="B6" i="4"/>
  <c r="D6" i="4" s="1"/>
  <c r="E6" i="4" s="1"/>
  <c r="C16" i="3"/>
  <c r="B16" i="3"/>
  <c r="D16" i="3" s="1"/>
  <c r="C15" i="3"/>
  <c r="B15" i="3"/>
  <c r="D15" i="3" s="1"/>
  <c r="C14" i="3"/>
  <c r="B14" i="3"/>
  <c r="D14" i="3" s="1"/>
  <c r="C13" i="3"/>
  <c r="B13" i="3"/>
  <c r="D13" i="3" s="1"/>
  <c r="C12" i="3"/>
  <c r="B12" i="3"/>
  <c r="D12" i="3" s="1"/>
  <c r="D11" i="3"/>
  <c r="C11" i="3"/>
  <c r="B11" i="3"/>
  <c r="C10" i="3"/>
  <c r="B10" i="3"/>
  <c r="D10" i="3" s="1"/>
  <c r="C9" i="3"/>
  <c r="B9" i="3"/>
  <c r="D9" i="3" s="1"/>
  <c r="C8" i="3"/>
  <c r="B8" i="3"/>
  <c r="D8" i="3" s="1"/>
  <c r="C7" i="3"/>
  <c r="B7" i="3"/>
  <c r="D7" i="3" s="1"/>
  <c r="C6" i="3"/>
  <c r="B6" i="3"/>
  <c r="D6" i="3" s="1"/>
  <c r="F16" i="6" l="1"/>
  <c r="F17" i="6" s="1"/>
  <c r="E34" i="6"/>
  <c r="J19" i="8" s="1"/>
  <c r="E15" i="6"/>
  <c r="I14" i="6"/>
  <c r="D15" i="6"/>
  <c r="H14" i="6"/>
  <c r="C16" i="6"/>
  <c r="C17" i="6" s="1"/>
  <c r="C18" i="6" s="1"/>
  <c r="C19" i="6" s="1"/>
  <c r="C20" i="6" s="1"/>
  <c r="F10" i="5"/>
  <c r="B17" i="5" s="1"/>
  <c r="G27" i="8" s="1"/>
  <c r="D10" i="5"/>
  <c r="D8" i="5"/>
  <c r="F8" i="5"/>
  <c r="D7" i="5"/>
  <c r="F7" i="5"/>
  <c r="B16" i="5" s="1"/>
  <c r="G26" i="8" s="1"/>
  <c r="D6" i="5"/>
  <c r="F6" i="5"/>
  <c r="B15" i="5" s="1"/>
  <c r="B22" i="4"/>
  <c r="B21" i="4"/>
  <c r="B20" i="4"/>
  <c r="E16" i="3"/>
  <c r="F16" i="3"/>
  <c r="G16" i="3"/>
  <c r="E15" i="3"/>
  <c r="F15" i="3"/>
  <c r="C20" i="8" s="1"/>
  <c r="G15" i="3"/>
  <c r="B25" i="3"/>
  <c r="G6" i="8"/>
  <c r="B20" i="8"/>
  <c r="E14" i="3"/>
  <c r="F14" i="3"/>
  <c r="G14" i="3"/>
  <c r="E13" i="3"/>
  <c r="F13" i="3"/>
  <c r="C19" i="8" s="1"/>
  <c r="G13" i="3"/>
  <c r="B19" i="8"/>
  <c r="E12" i="3"/>
  <c r="F12" i="3"/>
  <c r="G12" i="3"/>
  <c r="G11" i="3"/>
  <c r="F11" i="3"/>
  <c r="E11" i="3"/>
  <c r="E10" i="3"/>
  <c r="F10" i="3"/>
  <c r="C18" i="8" s="1"/>
  <c r="G10" i="3"/>
  <c r="B24" i="3"/>
  <c r="B18" i="8"/>
  <c r="E9" i="3"/>
  <c r="F9" i="3"/>
  <c r="C17" i="8" s="1"/>
  <c r="G9" i="3"/>
  <c r="B23" i="3"/>
  <c r="B17" i="8"/>
  <c r="A11" i="7"/>
  <c r="F8" i="3"/>
  <c r="G8" i="3"/>
  <c r="E7" i="3"/>
  <c r="F7" i="3"/>
  <c r="G7" i="3"/>
  <c r="B22" i="3"/>
  <c r="E6" i="3"/>
  <c r="F6" i="3"/>
  <c r="C16" i="8" s="1"/>
  <c r="G6" i="3"/>
  <c r="B21" i="3"/>
  <c r="B16" i="8"/>
  <c r="A6" i="7"/>
  <c r="I15" i="6" l="1"/>
  <c r="E16" i="6"/>
  <c r="H15" i="6"/>
  <c r="D16" i="6"/>
  <c r="G25" i="8"/>
  <c r="B18" i="5"/>
  <c r="G28" i="8" s="1"/>
  <c r="F18" i="6"/>
  <c r="F19" i="6" s="1"/>
  <c r="F20" i="6" s="1"/>
  <c r="F21" i="6" s="1"/>
  <c r="F22" i="6" s="1"/>
  <c r="F23" i="6" s="1"/>
  <c r="F24" i="6" s="1"/>
  <c r="F25" i="6" s="1"/>
  <c r="F26" i="6" s="1"/>
  <c r="E32" i="6" s="1"/>
  <c r="J17" i="8" s="1"/>
  <c r="E31" i="6"/>
  <c r="C21" i="6"/>
  <c r="C22" i="6" s="1"/>
  <c r="C23" i="6" s="1"/>
  <c r="C24" i="6" s="1"/>
  <c r="C25" i="6" s="1"/>
  <c r="B31" i="6"/>
  <c r="I16" i="6" l="1"/>
  <c r="E17" i="6"/>
  <c r="H16" i="6"/>
  <c r="D17" i="6"/>
  <c r="J16" i="8"/>
  <c r="E33" i="6"/>
  <c r="J18" i="8" s="1"/>
  <c r="B34" i="6"/>
  <c r="G19" i="8" s="1"/>
  <c r="C26" i="6"/>
  <c r="B32" i="6" s="1"/>
  <c r="G17" i="8" s="1"/>
  <c r="G16" i="8"/>
  <c r="D10" i="8"/>
  <c r="B33" i="6"/>
  <c r="I17" i="6" l="1"/>
  <c r="E18" i="6"/>
  <c r="H17" i="6"/>
  <c r="D18" i="6"/>
  <c r="G10" i="8"/>
  <c r="G18" i="8"/>
  <c r="I18" i="6" l="1"/>
  <c r="E19" i="6"/>
  <c r="H18" i="6"/>
  <c r="D19" i="6"/>
  <c r="I19" i="6" l="1"/>
  <c r="E20" i="6"/>
  <c r="H19" i="6"/>
  <c r="D20" i="6"/>
  <c r="I20" i="6" l="1"/>
  <c r="E21" i="6"/>
  <c r="H20" i="6"/>
  <c r="D21" i="6"/>
  <c r="I21" i="6" l="1"/>
  <c r="E22" i="6"/>
  <c r="H21" i="6"/>
  <c r="D22" i="6"/>
  <c r="I22" i="6" l="1"/>
  <c r="E23" i="6"/>
  <c r="H22" i="6"/>
  <c r="D23" i="6"/>
  <c r="I23" i="6" l="1"/>
  <c r="E24" i="6"/>
  <c r="H23" i="6"/>
  <c r="D24" i="6"/>
  <c r="I24" i="6" l="1"/>
  <c r="E25" i="6"/>
  <c r="H24" i="6"/>
  <c r="D25" i="6"/>
  <c r="I25" i="6" l="1"/>
  <c r="E26" i="6"/>
  <c r="H25" i="6"/>
  <c r="D26" i="6"/>
  <c r="D34" i="6" l="1"/>
  <c r="I19" i="8" s="1"/>
  <c r="D31" i="6"/>
  <c r="I26" i="6"/>
  <c r="D32" i="6"/>
  <c r="I17" i="8" s="1"/>
  <c r="C34" i="6"/>
  <c r="H19" i="8" s="1"/>
  <c r="C31" i="6"/>
  <c r="H26" i="6"/>
  <c r="C32" i="6"/>
  <c r="H17" i="8" s="1"/>
  <c r="I16" i="8" l="1"/>
  <c r="D33" i="6"/>
  <c r="I18" i="8" s="1"/>
  <c r="A26" i="7"/>
  <c r="A33" i="8" s="1"/>
  <c r="H16" i="8"/>
  <c r="C33" i="6"/>
  <c r="H18" i="8" s="1"/>
</calcChain>
</file>

<file path=xl/sharedStrings.xml><?xml version="1.0" encoding="utf-8"?>
<sst xmlns="http://schemas.openxmlformats.org/spreadsheetml/2006/main" count="670" uniqueCount="391">
  <si>
    <t>Project 3 — FINAL Portfolio Release</t>
  </si>
  <si>
    <t>Month-End Management Accounts, Working Capital &amp; 13-Week Cash Forecast</t>
  </si>
  <si>
    <t>Final architecture</t>
  </si>
  <si>
    <t>Workbook 1</t>
  </si>
  <si>
    <t>Detailed V1 accounting engine: 940-line GL, journals, adjusted TB, management P&amp;L, balance sheet, reconciliations, ageing, working capital and 13-week cash forecast.</t>
  </si>
  <si>
    <t>Workbook 2</t>
  </si>
  <si>
    <t>This FINAL CFO pack: variance investigation, reconciliation review, working-capital actions, cash stress scenarios, CFO commentary and recruiter summary.</t>
  </si>
  <si>
    <t>Close period</t>
  </si>
  <si>
    <t>September 2026</t>
  </si>
  <si>
    <t>Company</t>
  </si>
  <si>
    <t>Aster &amp; Vale Consumer Products Ltd — fictional UK consumer-products business</t>
  </si>
  <si>
    <t>Data</t>
  </si>
  <si>
    <t>100% synthetic portfolio data</t>
  </si>
  <si>
    <t>Final close status</t>
  </si>
  <si>
    <t>100% simulated completion after review/sign-off</t>
  </si>
  <si>
    <t>Portfolio use</t>
  </si>
  <si>
    <t>CV, LinkedIn, interviews, GitHub/portfolio and finance-role applications</t>
  </si>
  <si>
    <t>Integrity statement</t>
  </si>
  <si>
    <t>All company data, invoices, journals, forecasts and quantified opportunities are synthetic. Working-capital releases and cash scenarios are modelled planning outputs—not realised savings. The project demonstrates accounting logic, financial control, management reporting and decision support.</t>
  </si>
  <si>
    <t>Linked Source Outputs from Project 3 V1</t>
  </si>
  <si>
    <t>Blue hardcodes below are extracted from the reconciled V1 workbook and feed the FINAL management layer.</t>
  </si>
  <si>
    <t>Management P&amp;L</t>
  </si>
  <si>
    <t>Balance sheet / controls</t>
  </si>
  <si>
    <t>Metric</t>
  </si>
  <si>
    <t>Value</t>
  </si>
  <si>
    <t>Unit</t>
  </si>
  <si>
    <t>V1 Source</t>
  </si>
  <si>
    <t>YTD Revenue</t>
  </si>
  <si>
    <t>£</t>
  </si>
  <si>
    <t>Closing Cash</t>
  </si>
  <si>
    <t>Balance Sheet</t>
  </si>
  <si>
    <t>YTD Revenue Budget</t>
  </si>
  <si>
    <t>Budget</t>
  </si>
  <si>
    <t>Trade Receivables</t>
  </si>
  <si>
    <t>AR Ageing</t>
  </si>
  <si>
    <t>YTD Gross Profit</t>
  </si>
  <si>
    <t>Allowance for Doubtful Debts</t>
  </si>
  <si>
    <t>Adjusted TB</t>
  </si>
  <si>
    <t>YTD Gross Profit Budget</t>
  </si>
  <si>
    <t>Inventory</t>
  </si>
  <si>
    <t>YTD Gross Margin</t>
  </si>
  <si>
    <t>%</t>
  </si>
  <si>
    <t>Prepayments</t>
  </si>
  <si>
    <t>YTD Gross Margin Budget</t>
  </si>
  <si>
    <t>Net PP&amp;E</t>
  </si>
  <si>
    <t>YTD Salaries</t>
  </si>
  <si>
    <t>Trade Payables</t>
  </si>
  <si>
    <t>AP Ageing</t>
  </si>
  <si>
    <t>YTD Salaries Budget</t>
  </si>
  <si>
    <t>Accrued Expenses</t>
  </si>
  <si>
    <t>YTD Marketing</t>
  </si>
  <si>
    <t>Payroll Liabilities</t>
  </si>
  <si>
    <t>YTD Marketing Budget</t>
  </si>
  <si>
    <t>Tax Payable</t>
  </si>
  <si>
    <t>YTD Utilities</t>
  </si>
  <si>
    <t>Balance Sheet Check</t>
  </si>
  <si>
    <t>YTD Utilities Budget</t>
  </si>
  <si>
    <t>Bank Rec Difference</t>
  </si>
  <si>
    <t>Bank Reconciliation</t>
  </si>
  <si>
    <t>YTD Professional Fees</t>
  </si>
  <si>
    <t>AR Rec Difference</t>
  </si>
  <si>
    <t>YTD Professional Fees Budget</t>
  </si>
  <si>
    <t>AP Rec Difference</t>
  </si>
  <si>
    <t>YTD Software &amp; IT</t>
  </si>
  <si>
    <t>Modelled ECL</t>
  </si>
  <si>
    <t>YTD Software &amp; IT Budget</t>
  </si>
  <si>
    <t>YTD Travel</t>
  </si>
  <si>
    <t>YTD Travel Budget</t>
  </si>
  <si>
    <t>Working capital / close</t>
  </si>
  <si>
    <t>YTD EBITDA</t>
  </si>
  <si>
    <t>YTD EBITDA Budget</t>
  </si>
  <si>
    <t>DSO</t>
  </si>
  <si>
    <t>days</t>
  </si>
  <si>
    <t>Working Capital</t>
  </si>
  <si>
    <t>YTD PBT</t>
  </si>
  <si>
    <t>Inventory Days</t>
  </si>
  <si>
    <t>YTD PBT Budget</t>
  </si>
  <si>
    <t>DPO</t>
  </si>
  <si>
    <t>Sep Revenue</t>
  </si>
  <si>
    <t>Cash Conversion Cycle</t>
  </si>
  <si>
    <t>Sep COGS</t>
  </si>
  <si>
    <t>Net Working Capital</t>
  </si>
  <si>
    <t>90+ Day AR %</t>
  </si>
  <si>
    <t>61-90 Day AR</t>
  </si>
  <si>
    <t>Base 13-week cash forecast inputs</t>
  </si>
  <si>
    <t>90+ Day AR</t>
  </si>
  <si>
    <t>Week</t>
  </si>
  <si>
    <t>Week Start</t>
  </si>
  <si>
    <t>Customer Receipts £</t>
  </si>
  <si>
    <t>Supplier Payments £</t>
  </si>
  <si>
    <t>Payroll £</t>
  </si>
  <si>
    <t>Rent £</t>
  </si>
  <si>
    <t>Other Opex £</t>
  </si>
  <si>
    <t>Capex £</t>
  </si>
  <si>
    <t>Tax / Interest £</t>
  </si>
  <si>
    <t>Actual vs Budget Variance Investigation — YTD Sep 2026</t>
  </si>
  <si>
    <t>Materiality-led review converts the management P&amp;L into specific finance actions.</t>
  </si>
  <si>
    <t>P&amp;L Line</t>
  </si>
  <si>
    <t>Actual</t>
  </si>
  <si>
    <t>Variance £</t>
  </si>
  <si>
    <t>Variance %</t>
  </si>
  <si>
    <t>Favourability</t>
  </si>
  <si>
    <t>Materiality</t>
  </si>
  <si>
    <t>Primary Driver</t>
  </si>
  <si>
    <t>Interpretation</t>
  </si>
  <si>
    <t>Action</t>
  </si>
  <si>
    <t>Owner</t>
  </si>
  <si>
    <t>Revenue</t>
  </si>
  <si>
    <t>Volume and pricing ahead of plan</t>
  </si>
  <si>
    <t>Top-line performance is ahead of budget.</t>
  </si>
  <si>
    <t>Protect revenue momentum; monitor mix.</t>
  </si>
  <si>
    <t>Commercial Finance</t>
  </si>
  <si>
    <t>Gross Profit</t>
  </si>
  <si>
    <t>Revenue upside and modest margin outperformance</t>
  </si>
  <si>
    <t>Gross profit is ahead of plan.</t>
  </si>
  <si>
    <t>Maintain price/cost discipline.</t>
  </si>
  <si>
    <t>Finance Business Partner</t>
  </si>
  <si>
    <t>Gross Margin %</t>
  </si>
  <si>
    <t>-</t>
  </si>
  <si>
    <t>Small positive rate variance</t>
  </si>
  <si>
    <t>Margin rate is slightly above budget.</t>
  </si>
  <si>
    <t>Monitor price/cost balance.</t>
  </si>
  <si>
    <t>Salaries</t>
  </si>
  <si>
    <t>Staffing and Q3 bonus accrual above plan</t>
  </si>
  <si>
    <t>People costs absorb top-line upside.</t>
  </si>
  <si>
    <t>Review vacancies, overtime and bonus phasing.</t>
  </si>
  <si>
    <t>Finance Manager</t>
  </si>
  <si>
    <t>Marketing</t>
  </si>
  <si>
    <t>Campaign spend and Sep accrual above plan</t>
  </si>
  <si>
    <t>Marketing is a material adverse variance.</t>
  </si>
  <si>
    <t>Validate ROI and rephase discretionary spend.</t>
  </si>
  <si>
    <t>Commercial Director</t>
  </si>
  <si>
    <t>Utilities</t>
  </si>
  <si>
    <t>Spend below plan</t>
  </si>
  <si>
    <t>Utilities are modestly favourable.</t>
  </si>
  <si>
    <t>Retain updated run-rate.</t>
  </si>
  <si>
    <t>Management Accountant</t>
  </si>
  <si>
    <t>Professional Fees</t>
  </si>
  <si>
    <t>Professional fees are favourable.</t>
  </si>
  <si>
    <t>Confirm no unbilled commitments remain.</t>
  </si>
  <si>
    <t>Financial Controller</t>
  </si>
  <si>
    <t>Software &amp; IT</t>
  </si>
  <si>
    <t>Subscription run-rate above plan</t>
  </si>
  <si>
    <t>IT spend is modestly adverse.</t>
  </si>
  <si>
    <t>Review licences and renewals.</t>
  </si>
  <si>
    <t>Travel</t>
  </si>
  <si>
    <t>Activity above plan</t>
  </si>
  <si>
    <t>Travel is slightly adverse.</t>
  </si>
  <si>
    <t>Apply approval thresholds.</t>
  </si>
  <si>
    <t>EBITDA</t>
  </si>
  <si>
    <t>Cost overruns exceed gross-profit upside</t>
  </si>
  <si>
    <t>EBITDA is below budget despite revenue growth.</t>
  </si>
  <si>
    <t>Prioritise payroll and marketing actions.</t>
  </si>
  <si>
    <t>CFO</t>
  </si>
  <si>
    <t>Profit Before Tax</t>
  </si>
  <si>
    <t>EBITDA shortfall drives adverse PBT</t>
  </si>
  <si>
    <t>Bottom-line remains below plan.</t>
  </si>
  <si>
    <t>Track Q4 corrective actions.</t>
  </si>
  <si>
    <t>Executive variance summary</t>
  </si>
  <si>
    <t>Revenue Variance</t>
  </si>
  <si>
    <t>Gross Profit Variance</t>
  </si>
  <si>
    <t>Salary Variance</t>
  </si>
  <si>
    <t>Marketing Variance</t>
  </si>
  <si>
    <t>EBITDA Variance</t>
  </si>
  <si>
    <t>Balance Sheet Reconciliation Pack — 30 Sep 2026</t>
  </si>
  <si>
    <t>Core balances reconcile cleanly; allowance is retained as a judgemental review against modelled ECL.</t>
  </si>
  <si>
    <t>Account</t>
  </si>
  <si>
    <t>TB Balance £</t>
  </si>
  <si>
    <t>Support £</t>
  </si>
  <si>
    <t>Difference £</t>
  </si>
  <si>
    <t>Status</t>
  </si>
  <si>
    <t>Support Source</t>
  </si>
  <si>
    <t>Review Note</t>
  </si>
  <si>
    <t>Risk</t>
  </si>
  <si>
    <t>Evidence</t>
  </si>
  <si>
    <t>Final Sign-off</t>
  </si>
  <si>
    <t>Bank</t>
  </si>
  <si>
    <t>Bank reconciliation</t>
  </si>
  <si>
    <t>Financial Accountant</t>
  </si>
  <si>
    <t>Bank reconciles to statement.</t>
  </si>
  <si>
    <t>Clear outstanding items in normal course.</t>
  </si>
  <si>
    <t>Low</t>
  </si>
  <si>
    <t>V1 Bank Rec</t>
  </si>
  <si>
    <t>Signed</t>
  </si>
  <si>
    <t>AR ageing</t>
  </si>
  <si>
    <t>Credit Controller</t>
  </si>
  <si>
    <t>Subledger ties to control account.</t>
  </si>
  <si>
    <t>Continue aged-debt actions.</t>
  </si>
  <si>
    <t>Medium</t>
  </si>
  <si>
    <t>V1 AR Ageing</t>
  </si>
  <si>
    <t>ECL model</t>
  </si>
  <si>
    <t>Allowance is above modelled ECL; judgement is required.</t>
  </si>
  <si>
    <t>Document provisioning judgement.</t>
  </si>
  <si>
    <t>Reviewed</t>
  </si>
  <si>
    <t>Inventory roll-forward</t>
  </si>
  <si>
    <t>Ledger balance supported by roll-forward.</t>
  </si>
  <si>
    <t>Cycle-count/obsolescence review in a real close.</t>
  </si>
  <si>
    <t>V1 GL</t>
  </si>
  <si>
    <t>Prepayment schedule</t>
  </si>
  <si>
    <t>Insurance prepayment supported.</t>
  </si>
  <si>
    <t>Roll forward monthly amortisation.</t>
  </si>
  <si>
    <t>V1 Adjustments</t>
  </si>
  <si>
    <t>Fixed asset roll-forward</t>
  </si>
  <si>
    <t>Net PP&amp;E supported by capex/depreciation schedules.</t>
  </si>
  <si>
    <t>Retain capex support.</t>
  </si>
  <si>
    <t>AP ageing</t>
  </si>
  <si>
    <t>AP Lead</t>
  </si>
  <si>
    <t>Prioritise overdue suppliers.</t>
  </si>
  <si>
    <t>V1 AP Ageing</t>
  </si>
  <si>
    <t>Accrual schedule</t>
  </si>
  <si>
    <t>Accruals supported by month-end journals.</t>
  </si>
  <si>
    <t>Reverse/replace with invoices.</t>
  </si>
  <si>
    <t>Payroll schedule</t>
  </si>
  <si>
    <t>Payroll Lead</t>
  </si>
  <si>
    <t>Recurring payroll liability supported.</t>
  </si>
  <si>
    <t>Reconcile to provider.</t>
  </si>
  <si>
    <t>Tax schedule</t>
  </si>
  <si>
    <t>Closing tax balance supported.</t>
  </si>
  <si>
    <t>Update for next computation.</t>
  </si>
  <si>
    <t>Control conclusion</t>
  </si>
  <si>
    <t>PASS Items</t>
  </si>
  <si>
    <t>REVIEW Items</t>
  </si>
  <si>
    <t>CHECK Items</t>
  </si>
  <si>
    <t>Overall Balance Sheet Check</t>
  </si>
  <si>
    <t>Working Capital Action Plan — September 2026</t>
  </si>
  <si>
    <t>Negative CCC is useful, but DPO is unusually high; actions focus on collections and inventory rather than supplier stretching.</t>
  </si>
  <si>
    <t>Area</t>
  </si>
  <si>
    <t>Current</t>
  </si>
  <si>
    <t>Target</t>
  </si>
  <si>
    <t>Gap</t>
  </si>
  <si>
    <t>Modelled Cash Effect £</t>
  </si>
  <si>
    <t>Timing</t>
  </si>
  <si>
    <t>Priority</t>
  </si>
  <si>
    <t>KPI</t>
  </si>
  <si>
    <t>Comment</t>
  </si>
  <si>
    <t>Prioritise 31+ day collections; escalate overdue debt.</t>
  </si>
  <si>
    <t>30 days</t>
  </si>
  <si>
    <t>High</t>
  </si>
  <si>
    <t>Planning target.</t>
  </si>
  <si>
    <t>Reduce slow-moving / safety-stock days.</t>
  </si>
  <si>
    <t>60 days</t>
  </si>
  <si>
    <t>Supply Finance</t>
  </si>
  <si>
    <t>Normalise very extended payment days while managing cash.</t>
  </si>
  <si>
    <t>Supplier</t>
  </si>
  <si>
    <t>Supplier-risk guardrail.</t>
  </si>
  <si>
    <t>Escalate overdue balances and agree collection dates.</t>
  </si>
  <si>
    <t>Credit</t>
  </si>
  <si>
    <t>90+ AR %</t>
  </si>
  <si>
    <t>Portfolio has limited 90+ debt.</t>
  </si>
  <si>
    <t>61+ Day AR</t>
  </si>
  <si>
    <t>Collect 50% of 61+ day receivables.</t>
  </si>
  <si>
    <t>Overdue AR</t>
  </si>
  <si>
    <t>Modelled scenario, not realised cash.</t>
  </si>
  <si>
    <t>Modelled cash opportunities</t>
  </si>
  <si>
    <t>DSO Release Opportunity</t>
  </si>
  <si>
    <t>Inventory Release Opportunity</t>
  </si>
  <si>
    <t>61+ AR Collection Scenario</t>
  </si>
  <si>
    <t>Net Opportunity before DPO normalisation</t>
  </si>
  <si>
    <t>13-Week Cash Scenario Analysis</t>
  </si>
  <si>
    <t>Stress-tests the V1 cash forecast; Management Action defers capex and improves collection/payment discipline.</t>
  </si>
  <si>
    <t>Scenario</t>
  </si>
  <si>
    <t>Receipts Factor</t>
  </si>
  <si>
    <t>Supplier Payment Factor</t>
  </si>
  <si>
    <t>Other Opex Factor</t>
  </si>
  <si>
    <t>Capex Factor</t>
  </si>
  <si>
    <t>Base</t>
  </si>
  <si>
    <t>Existing V1 forecast</t>
  </si>
  <si>
    <t>Downside</t>
  </si>
  <si>
    <t>Slower collections and modest cost pressure</t>
  </si>
  <si>
    <t>Severe</t>
  </si>
  <si>
    <t>Material collections stress plus supplier/cost pressure</t>
  </si>
  <si>
    <t>Management Action</t>
  </si>
  <si>
    <t>Collection focus, payment scheduling and capex deferral</t>
  </si>
  <si>
    <t>Policy Floor</t>
  </si>
  <si>
    <t>Minimum cash policy</t>
  </si>
  <si>
    <t>Base Ending Cash</t>
  </si>
  <si>
    <t>Downside Ending Cash</t>
  </si>
  <si>
    <t>Severe Ending Cash</t>
  </si>
  <si>
    <t>Management Action Ending Cash</t>
  </si>
  <si>
    <t>Downside Headroom</t>
  </si>
  <si>
    <t>Severe Headroom</t>
  </si>
  <si>
    <t>Scenario liquidity summary</t>
  </si>
  <si>
    <t>Minimum Cash</t>
  </si>
  <si>
    <t>Week 13 Cash</t>
  </si>
  <si>
    <t>Minimum Headroom</t>
  </si>
  <si>
    <t>Below Policy Weeks</t>
  </si>
  <si>
    <t>CFO Month-End Commentary — September 2026</t>
  </si>
  <si>
    <t>Formula-driven narrative linked to the final management layer.</t>
  </si>
  <si>
    <t>Executive performance</t>
  </si>
  <si>
    <t>Cost &amp; variance drivers</t>
  </si>
  <si>
    <t>Balance sheet &amp; controls</t>
  </si>
  <si>
    <t>Working capital</t>
  </si>
  <si>
    <t>Liquidity</t>
  </si>
  <si>
    <t>CFO priorities</t>
  </si>
  <si>
    <t>Bring salaries and marketing back toward plan</t>
  </si>
  <si>
    <t>CFO / Commercial Director</t>
  </si>
  <si>
    <t>Q4</t>
  </si>
  <si>
    <t>Variance Investigation</t>
  </si>
  <si>
    <t>Open</t>
  </si>
  <si>
    <t>Execute targeted overdue-AR collection actions</t>
  </si>
  <si>
    <t>Working Capital Actions</t>
  </si>
  <si>
    <t>Reduce inventory days without service disruption</t>
  </si>
  <si>
    <t>Document allowance vs ECL provisioning judgement</t>
  </si>
  <si>
    <t>Close</t>
  </si>
  <si>
    <t>BS Reconciliation Pack</t>
  </si>
  <si>
    <t>Monitor downside liquidity and defer capex if required</t>
  </si>
  <si>
    <t>Weekly</t>
  </si>
  <si>
    <t>Cash Scenarios</t>
  </si>
  <si>
    <t>Monitoring</t>
  </si>
  <si>
    <t>CFO Management Pack — September 2026</t>
  </si>
  <si>
    <t>Management accounts | controls | working capital | liquidity | actions</t>
  </si>
  <si>
    <t>EBITDA vs Budget</t>
  </si>
  <si>
    <t>Final Close Completion</t>
  </si>
  <si>
    <t>Base Minimum Cash</t>
  </si>
  <si>
    <t>Base Minimum Headroom</t>
  </si>
  <si>
    <t>Key variance agenda</t>
  </si>
  <si>
    <t>Cash scenarios</t>
  </si>
  <si>
    <t>Protect momentum</t>
  </si>
  <si>
    <t>Review people-cost run-rate</t>
  </si>
  <si>
    <t>Validate ROI / rephase spend</t>
  </si>
  <si>
    <t>Review licences</t>
  </si>
  <si>
    <t>Execute Q4 corrective actions</t>
  </si>
  <si>
    <t>Financial-control status</t>
  </si>
  <si>
    <t>Working-capital opportunities</t>
  </si>
  <si>
    <t>Control</t>
  </si>
  <si>
    <t>PASS</t>
  </si>
  <si>
    <t>DSO collection opportunity</t>
  </si>
  <si>
    <t>Inventory-days opportunity</t>
  </si>
  <si>
    <t>AR Reconciliation</t>
  </si>
  <si>
    <t>61+ AR collection scenario</t>
  </si>
  <si>
    <t>AP Reconciliation</t>
  </si>
  <si>
    <t>Net opportunity before DPO normalisation</t>
  </si>
  <si>
    <t>Allowance vs ECL</t>
  </si>
  <si>
    <t>REVIEW</t>
  </si>
  <si>
    <t>CFO commentary</t>
  </si>
  <si>
    <t>CFO action agenda</t>
  </si>
  <si>
    <t>Control payroll and marketing run-rate</t>
  </si>
  <si>
    <t>Accelerate overdue receivables</t>
  </si>
  <si>
    <t>Reduce inventory days</t>
  </si>
  <si>
    <t>Maintain supplier relationships while managing cash</t>
  </si>
  <si>
    <t>Trigger capex deferral if downside cash headroom breaches policy</t>
  </si>
  <si>
    <t>Project 3 — Recruiter Portfolio Summary</t>
  </si>
  <si>
    <t>Month-End Management Accounts, Working Capital &amp; 13-Week Cash Forecast | FINAL</t>
  </si>
  <si>
    <t>Project objective</t>
  </si>
  <si>
    <t>Built a complete simulated September month-end close from a 940-line double-entry general ledger through adjusted trial balance, management accounts, balance-sheet and subledger reconciliations, working-capital analysis and a 13-week cash forecast. Extended the close into variance investigation, liquidity stress testing and CFO decision support.</t>
  </si>
  <si>
    <t>Scope</t>
  </si>
  <si>
    <t>Final control status</t>
  </si>
  <si>
    <t>GL</t>
  </si>
  <si>
    <t>940 double-entry lines</t>
  </si>
  <si>
    <t>Adjustments</t>
  </si>
  <si>
    <t>14 month-end journal lines</t>
  </si>
  <si>
    <t>Trial Balance</t>
  </si>
  <si>
    <t>AR</t>
  </si>
  <si>
    <t>60 open invoices</t>
  </si>
  <si>
    <t>AP</t>
  </si>
  <si>
    <t>50 open invoices</t>
  </si>
  <si>
    <t>Reporting</t>
  </si>
  <si>
    <t>Actual vs Budget management accounts</t>
  </si>
  <si>
    <t>AR Subledger</t>
  </si>
  <si>
    <t>Controls</t>
  </si>
  <si>
    <t>Bank / AR / AP / balance-sheet reconciliation</t>
  </si>
  <si>
    <t>AP Subledger</t>
  </si>
  <si>
    <t>Treasury</t>
  </si>
  <si>
    <t>4 cash scenarios over 13 weeks</t>
  </si>
  <si>
    <t>Close Checklist</t>
  </si>
  <si>
    <t>Complete</t>
  </si>
  <si>
    <t>Final output</t>
  </si>
  <si>
    <t>CFO management pack + commentary</t>
  </si>
  <si>
    <t>Key findings</t>
  </si>
  <si>
    <t>YTD revenue is £70k ahead of budget.</t>
  </si>
  <si>
    <t>EBITDA is ~£35.5k below budget because salary and marketing overruns absorb the gross-profit upside.</t>
  </si>
  <si>
    <t>Balance sheet, bank, AR and AP tie-outs are clean; allowance vs ECL remains a judgemental review.</t>
  </si>
  <si>
    <t>CCC is ~-19.1 days, but DPO ~88.9 days is high; improve collections/inventory rather than stretch suppliers further.</t>
  </si>
  <si>
    <t>Base minimum cash is ~£394.7k with ~£144.7k headroom; Downside breaches policy while Management Action restores resilience.</t>
  </si>
  <si>
    <t>The final simulated close is completed to 100% after review, reconciliation and CFO-pack preparation.</t>
  </si>
  <si>
    <t>Skills evidenced</t>
  </si>
  <si>
    <t>Recruiter-safe description</t>
  </si>
  <si>
    <t>Month-End Close</t>
  </si>
  <si>
    <t>Accruals, prepayments, depreciation, cut-off and close controls</t>
  </si>
  <si>
    <t>Independent management-accounting case study for a fictional UK consumer-products company. Built a 940-line double-entry ledger, month-end journals, adjusted trial balance, management accounts, reconciliations, working-capital analysis and a 13-week cash forecast. Added variance investigation, liquidity stress scenarios and CFO commentary. All data and quantified opportunities are synthetic/modelled.</t>
  </si>
  <si>
    <t>Management Accounting</t>
  </si>
  <si>
    <t>Actual vs budget reporting and variance investigation</t>
  </si>
  <si>
    <t>Reconciliation pack and control-account review</t>
  </si>
  <si>
    <t>DSO, DPO, inventory days, ageing and cash actions</t>
  </si>
  <si>
    <t>13-week cash forecast and stress scenarios</t>
  </si>
  <si>
    <t>Financial Controls</t>
  </si>
  <si>
    <t>Balanced TB and bank/AR/AP tie-outs</t>
  </si>
  <si>
    <t>Business Partnering</t>
  </si>
  <si>
    <t>CFO commentary, priorities and decision actions</t>
  </si>
  <si>
    <t>Excel</t>
  </si>
  <si>
    <t>Formula-driven linked financial model and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</si>
</sst>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\£#,##0.0;[Red]\(\£#,##0.0\);\-"/>
    <numFmt numFmtId="166" formatCode="0.0%;[Red]\(0.0%\);\-"/>
    <numFmt numFmtId="167" formatCode="0.0\ &quot;days&quot;"/>
    <numFmt numFmtId="168" formatCode="dd\-mmm"/>
    <numFmt numFmtId="169" formatCode="\£#,##0;[Red]\(\£#,##0\);\-"/>
  </numFmts>
  <fonts count="11">
    <font>
      <sz val="11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17365D"/>
      <name val="Aptos"/>
    </font>
    <font>
      <b/>
      <sz val="11"/>
      <color rgb="FFFFFFFF"/>
      <name val="Aptos"/>
    </font>
    <font>
      <i/>
      <sz val="11"/>
      <color rgb="FF17365D"/>
      <name val="Aptos"/>
    </font>
    <font>
      <sz val="11"/>
      <color rgb="FF0000FF"/>
      <name val="Aptos"/>
    </font>
    <font>
      <b/>
      <sz val="11"/>
      <color rgb="FF0000FF"/>
      <name val="Aptos"/>
    </font>
    <font>
      <b/>
      <sz val="16"/>
      <color rgb="FF008000"/>
      <name val="Aptos"/>
    </font>
    <font>
      <b/>
      <sz val="11"/>
      <color rgb="FF008000"/>
      <name val="Aptos"/>
    </font>
    <font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3" borderId="0" xfId="0" applyFont="1" applyFill="1"/>
    <xf numFmtId="0" fontId="4" fillId="4" borderId="0" xfId="0" applyFont="1" applyFill="1" applyAlignment="1">
      <alignment horizontal="left" vertical="center"/>
    </xf>
    <xf numFmtId="0" fontId="3" fillId="5" borderId="0" xfId="0" applyFont="1" applyFill="1"/>
    <xf numFmtId="0" fontId="2" fillId="0" borderId="0" xfId="0" applyFont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6" fillId="0" borderId="0" xfId="0" applyFont="1"/>
    <xf numFmtId="0" fontId="7" fillId="4" borderId="0" xfId="0" applyFont="1" applyFill="1" applyAlignment="1">
      <alignment horizontal="center" vertical="center" wrapText="1"/>
    </xf>
    <xf numFmtId="164" fontId="6" fillId="0" borderId="0" xfId="0" applyNumberFormat="1" applyFont="1"/>
    <xf numFmtId="165" fontId="6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6" fontId="7" fillId="8" borderId="0" xfId="0" applyNumberFormat="1" applyFont="1" applyFill="1"/>
    <xf numFmtId="168" fontId="2" fillId="0" borderId="0" xfId="0" applyNumberFormat="1" applyFont="1"/>
    <xf numFmtId="0" fontId="9" fillId="6" borderId="0" xfId="0" applyFont="1" applyFill="1"/>
    <xf numFmtId="0" fontId="3" fillId="7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4" fillId="4" borderId="0" xfId="0" applyFont="1" applyFill="1" applyAlignment="1">
      <alignment horizontal="left" vertical="center"/>
    </xf>
    <xf numFmtId="0" fontId="2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5" fillId="3" borderId="0" xfId="0" applyFont="1" applyFill="1"/>
    <xf numFmtId="0" fontId="2" fillId="9" borderId="0" xfId="0" applyFont="1" applyFill="1" applyAlignment="1">
      <alignment vertical="top" wrapText="1"/>
    </xf>
    <xf numFmtId="0" fontId="3" fillId="3" borderId="0" xfId="0" applyFont="1" applyFill="1"/>
    <xf numFmtId="0" fontId="7" fillId="4" borderId="0" xfId="0" applyFont="1" applyFill="1" applyAlignment="1">
      <alignment horizontal="left" vertical="center"/>
    </xf>
    <xf numFmtId="0" fontId="5" fillId="7" borderId="0" xfId="0" applyFont="1" applyFill="1"/>
    <xf numFmtId="0" fontId="10" fillId="9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/>
    </xf>
    <xf numFmtId="169" fontId="8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67" fontId="8" fillId="9" borderId="0" xfId="0" applyNumberFormat="1" applyFont="1" applyFill="1" applyAlignment="1">
      <alignment horizontal="center" vertical="center"/>
    </xf>
    <xf numFmtId="166" fontId="8" fillId="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Key YTD Variances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invertIfNegative val="1"/>
          <c:cat>
            <c:strRef>
              <c:f>'Variance Investigation'!$A$21:$A$25</c:f>
              <c:strCache>
                <c:ptCount val="5"/>
                <c:pt idx="0">
                  <c:v>Revenue Variance</c:v>
                </c:pt>
                <c:pt idx="1">
                  <c:v>Gross Profit Variance</c:v>
                </c:pt>
                <c:pt idx="2">
                  <c:v>Salary Variance</c:v>
                </c:pt>
                <c:pt idx="3">
                  <c:v>Marketing Variance</c:v>
                </c:pt>
                <c:pt idx="4">
                  <c:v>EBITDA Variance</c:v>
                </c:pt>
              </c:strCache>
            </c:strRef>
          </c:cat>
          <c:val>
            <c:numRef>
              <c:f>'Variance Investigation'!$B$21:$B$25</c:f>
              <c:numCache>
                <c:formatCode>\£#,##0.0;[Red]\(\£#,##0.0\);\-</c:formatCode>
                <c:ptCount val="5"/>
                <c:pt idx="0">
                  <c:v>70000</c:v>
                </c:pt>
                <c:pt idx="1">
                  <c:v>37875</c:v>
                </c:pt>
                <c:pt idx="2">
                  <c:v>43430.303905729437</c:v>
                </c:pt>
                <c:pt idx="3">
                  <c:v>29220.634235161589</c:v>
                </c:pt>
                <c:pt idx="4">
                  <c:v>-35489.936917343119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9-304D-B333-B1FAAD495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13-Week Cash by Scenario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Base Ending Cash</c:v>
          </c:tx>
          <c:marker>
            <c:symbol val="none"/>
          </c:marker>
          <c:cat>
            <c:numRef>
              <c:f>'Cash Scenarios'!$B$14:$B$26</c:f>
              <c:numCache>
                <c:formatCode>dd\-mmm</c:formatCode>
                <c:ptCount val="13"/>
                <c:pt idx="0">
                  <c:v>46300</c:v>
                </c:pt>
                <c:pt idx="1">
                  <c:v>46307</c:v>
                </c:pt>
                <c:pt idx="2">
                  <c:v>46314</c:v>
                </c:pt>
                <c:pt idx="3">
                  <c:v>46321</c:v>
                </c:pt>
                <c:pt idx="4">
                  <c:v>46328</c:v>
                </c:pt>
                <c:pt idx="5">
                  <c:v>46335</c:v>
                </c:pt>
                <c:pt idx="6">
                  <c:v>46342</c:v>
                </c:pt>
                <c:pt idx="7">
                  <c:v>46349</c:v>
                </c:pt>
                <c:pt idx="8">
                  <c:v>46356</c:v>
                </c:pt>
                <c:pt idx="9">
                  <c:v>46363</c:v>
                </c:pt>
                <c:pt idx="10">
                  <c:v>46370</c:v>
                </c:pt>
                <c:pt idx="11">
                  <c:v>46377</c:v>
                </c:pt>
                <c:pt idx="12">
                  <c:v>46384</c:v>
                </c:pt>
              </c:numCache>
            </c:numRef>
          </c:cat>
          <c:val>
            <c:numRef>
              <c:f>'Cash Scenarios'!$C$14:$C$26</c:f>
              <c:numCache>
                <c:formatCode>\£#,##0.0;[Red]\(\£#,##0.0\);\-</c:formatCode>
                <c:ptCount val="13"/>
                <c:pt idx="0">
                  <c:v>788631.18903677259</c:v>
                </c:pt>
                <c:pt idx="1">
                  <c:v>781514.2977664863</c:v>
                </c:pt>
                <c:pt idx="2">
                  <c:v>761147.04562322865</c:v>
                </c:pt>
                <c:pt idx="3">
                  <c:v>522303.57173402829</c:v>
                </c:pt>
                <c:pt idx="4">
                  <c:v>537903.57173402829</c:v>
                </c:pt>
                <c:pt idx="5">
                  <c:v>560503.57173402829</c:v>
                </c:pt>
                <c:pt idx="6">
                  <c:v>628103.57173402829</c:v>
                </c:pt>
                <c:pt idx="7">
                  <c:v>480703.57173402829</c:v>
                </c:pt>
                <c:pt idx="8">
                  <c:v>496303.57173402829</c:v>
                </c:pt>
                <c:pt idx="9">
                  <c:v>503903.57173402829</c:v>
                </c:pt>
                <c:pt idx="10">
                  <c:v>526503.57173402829</c:v>
                </c:pt>
                <c:pt idx="11">
                  <c:v>594103.57173402829</c:v>
                </c:pt>
                <c:pt idx="12">
                  <c:v>394703.57173402829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5B-B540-AA41-A02E95F27F16}"/>
            </c:ext>
          </c:extLst>
        </c:ser>
        <c:ser>
          <c:idx val="1"/>
          <c:order val="1"/>
          <c:tx>
            <c:v>Downside Ending Cash</c:v>
          </c:tx>
          <c:marker>
            <c:symbol val="none"/>
          </c:marker>
          <c:cat>
            <c:numRef>
              <c:f>'Cash Scenarios'!$B$14:$B$26</c:f>
              <c:numCache>
                <c:formatCode>dd\-mmm</c:formatCode>
                <c:ptCount val="13"/>
                <c:pt idx="0">
                  <c:v>46300</c:v>
                </c:pt>
                <c:pt idx="1">
                  <c:v>46307</c:v>
                </c:pt>
                <c:pt idx="2">
                  <c:v>46314</c:v>
                </c:pt>
                <c:pt idx="3">
                  <c:v>46321</c:v>
                </c:pt>
                <c:pt idx="4">
                  <c:v>46328</c:v>
                </c:pt>
                <c:pt idx="5">
                  <c:v>46335</c:v>
                </c:pt>
                <c:pt idx="6">
                  <c:v>46342</c:v>
                </c:pt>
                <c:pt idx="7">
                  <c:v>46349</c:v>
                </c:pt>
                <c:pt idx="8">
                  <c:v>46356</c:v>
                </c:pt>
                <c:pt idx="9">
                  <c:v>46363</c:v>
                </c:pt>
                <c:pt idx="10">
                  <c:v>46370</c:v>
                </c:pt>
                <c:pt idx="11">
                  <c:v>46377</c:v>
                </c:pt>
                <c:pt idx="12">
                  <c:v>46384</c:v>
                </c:pt>
              </c:numCache>
            </c:numRef>
          </c:cat>
          <c:val>
            <c:numRef>
              <c:f>'Cash Scenarios'!$D$14:$D$26</c:f>
              <c:numCache>
                <c:formatCode>\£#,##0.0;[Red]\(\£#,##0.0\);\-</c:formatCode>
                <c:ptCount val="13"/>
                <c:pt idx="0">
                  <c:v>747731.26903677254</c:v>
                </c:pt>
                <c:pt idx="1">
                  <c:v>701556.41776648629</c:v>
                </c:pt>
                <c:pt idx="2">
                  <c:v>645815.12562322873</c:v>
                </c:pt>
                <c:pt idx="3">
                  <c:v>377123.49173402839</c:v>
                </c:pt>
                <c:pt idx="4">
                  <c:v>373927.09173402842</c:v>
                </c:pt>
                <c:pt idx="5">
                  <c:v>377730.6917340284</c:v>
                </c:pt>
                <c:pt idx="6">
                  <c:v>426534.29173402837</c:v>
                </c:pt>
                <c:pt idx="7">
                  <c:v>260337.89173402838</c:v>
                </c:pt>
                <c:pt idx="8">
                  <c:v>257141.49173402839</c:v>
                </c:pt>
                <c:pt idx="9">
                  <c:v>245945.09173402839</c:v>
                </c:pt>
                <c:pt idx="10">
                  <c:v>249748.6917340284</c:v>
                </c:pt>
                <c:pt idx="11">
                  <c:v>298552.29173402837</c:v>
                </c:pt>
                <c:pt idx="12">
                  <c:v>80355.891734028381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5B-B540-AA41-A02E95F27F16}"/>
            </c:ext>
          </c:extLst>
        </c:ser>
        <c:ser>
          <c:idx val="2"/>
          <c:order val="2"/>
          <c:tx>
            <c:v>Severe Ending Cash</c:v>
          </c:tx>
          <c:marker>
            <c:symbol val="none"/>
          </c:marker>
          <c:cat>
            <c:numRef>
              <c:f>'Cash Scenarios'!$B$14:$B$26</c:f>
              <c:numCache>
                <c:formatCode>dd\-mmm</c:formatCode>
                <c:ptCount val="13"/>
                <c:pt idx="0">
                  <c:v>46300</c:v>
                </c:pt>
                <c:pt idx="1">
                  <c:v>46307</c:v>
                </c:pt>
                <c:pt idx="2">
                  <c:v>46314</c:v>
                </c:pt>
                <c:pt idx="3">
                  <c:v>46321</c:v>
                </c:pt>
                <c:pt idx="4">
                  <c:v>46328</c:v>
                </c:pt>
                <c:pt idx="5">
                  <c:v>46335</c:v>
                </c:pt>
                <c:pt idx="6">
                  <c:v>46342</c:v>
                </c:pt>
                <c:pt idx="7">
                  <c:v>46349</c:v>
                </c:pt>
                <c:pt idx="8">
                  <c:v>46356</c:v>
                </c:pt>
                <c:pt idx="9">
                  <c:v>46363</c:v>
                </c:pt>
                <c:pt idx="10">
                  <c:v>46370</c:v>
                </c:pt>
                <c:pt idx="11">
                  <c:v>46377</c:v>
                </c:pt>
                <c:pt idx="12">
                  <c:v>46384</c:v>
                </c:pt>
              </c:numCache>
            </c:numRef>
          </c:cat>
          <c:val>
            <c:numRef>
              <c:f>'Cash Scenarios'!$E$14:$E$26</c:f>
              <c:numCache>
                <c:formatCode>\£#,##0.0;[Red]\(\£#,##0.0\);\-</c:formatCode>
                <c:ptCount val="13"/>
                <c:pt idx="0">
                  <c:v>702089.78842882626</c:v>
                </c:pt>
                <c:pt idx="1">
                  <c:v>612541.14433313417</c:v>
                </c:pt>
                <c:pt idx="2">
                  <c:v>517305.46214701136</c:v>
                </c:pt>
                <c:pt idx="3">
                  <c:v>215266.528780027</c:v>
                </c:pt>
                <c:pt idx="4">
                  <c:v>192984.928780027</c:v>
                </c:pt>
                <c:pt idx="5">
                  <c:v>177703.32878002699</c:v>
                </c:pt>
                <c:pt idx="6">
                  <c:v>207421.72878002698</c:v>
                </c:pt>
                <c:pt idx="7">
                  <c:v>22140.128780026978</c:v>
                </c:pt>
                <c:pt idx="8">
                  <c:v>-141.47121997303111</c:v>
                </c:pt>
                <c:pt idx="9">
                  <c:v>-30423.071219973041</c:v>
                </c:pt>
                <c:pt idx="10">
                  <c:v>-45704.671219973054</c:v>
                </c:pt>
                <c:pt idx="11">
                  <c:v>-15986.271219973063</c:v>
                </c:pt>
                <c:pt idx="12">
                  <c:v>-253267.87121997308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5B-B540-AA41-A02E95F27F16}"/>
            </c:ext>
          </c:extLst>
        </c:ser>
        <c:ser>
          <c:idx val="3"/>
          <c:order val="3"/>
          <c:tx>
            <c:v>Management Action Ending Cash</c:v>
          </c:tx>
          <c:marker>
            <c:symbol val="none"/>
          </c:marker>
          <c:cat>
            <c:numRef>
              <c:f>'Cash Scenarios'!$B$14:$B$26</c:f>
              <c:numCache>
                <c:formatCode>dd\-mmm</c:formatCode>
                <c:ptCount val="13"/>
                <c:pt idx="0">
                  <c:v>46300</c:v>
                </c:pt>
                <c:pt idx="1">
                  <c:v>46307</c:v>
                </c:pt>
                <c:pt idx="2">
                  <c:v>46314</c:v>
                </c:pt>
                <c:pt idx="3">
                  <c:v>46321</c:v>
                </c:pt>
                <c:pt idx="4">
                  <c:v>46328</c:v>
                </c:pt>
                <c:pt idx="5">
                  <c:v>46335</c:v>
                </c:pt>
                <c:pt idx="6">
                  <c:v>46342</c:v>
                </c:pt>
                <c:pt idx="7">
                  <c:v>46349</c:v>
                </c:pt>
                <c:pt idx="8">
                  <c:v>46356</c:v>
                </c:pt>
                <c:pt idx="9">
                  <c:v>46363</c:v>
                </c:pt>
                <c:pt idx="10">
                  <c:v>46370</c:v>
                </c:pt>
                <c:pt idx="11">
                  <c:v>46377</c:v>
                </c:pt>
                <c:pt idx="12">
                  <c:v>46384</c:v>
                </c:pt>
              </c:numCache>
            </c:numRef>
          </c:cat>
          <c:val>
            <c:numRef>
              <c:f>'Cash Scenarios'!$F$14:$F$26</c:f>
              <c:numCache>
                <c:formatCode>\£#,##0.0;[Red]\(\£#,##0.0\);\-</c:formatCode>
                <c:ptCount val="13"/>
                <c:pt idx="0">
                  <c:v>784025.26964471885</c:v>
                </c:pt>
                <c:pt idx="1">
                  <c:v>772337.22119983833</c:v>
                </c:pt>
                <c:pt idx="2">
                  <c:v>748124.30909944582</c:v>
                </c:pt>
                <c:pt idx="3">
                  <c:v>506195.43468802946</c:v>
                </c:pt>
                <c:pt idx="4">
                  <c:v>518262.63468802947</c:v>
                </c:pt>
                <c:pt idx="5">
                  <c:v>582329.83468802948</c:v>
                </c:pt>
                <c:pt idx="6">
                  <c:v>646397.03468802944</c:v>
                </c:pt>
                <c:pt idx="7">
                  <c:v>495464.23468802945</c:v>
                </c:pt>
                <c:pt idx="8">
                  <c:v>507531.43468802946</c:v>
                </c:pt>
                <c:pt idx="9">
                  <c:v>511598.63468802947</c:v>
                </c:pt>
                <c:pt idx="10">
                  <c:v>575665.83468802948</c:v>
                </c:pt>
                <c:pt idx="11">
                  <c:v>639733.03468802944</c:v>
                </c:pt>
                <c:pt idx="12">
                  <c:v>436800.23468802945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F5B-B540-AA41-A02E95F27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\-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889000</xdr:colOff>
      <xdr:row>18</xdr:row>
      <xdr:rowOff>228600</xdr:rowOff>
    </xdr:from>
    <xdr:to>
      <xdr:col>9</xdr:col>
      <xdr:colOff>2908300</xdr:colOff>
      <xdr:row>38</xdr:row>
      <xdr:rowOff>139700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939800</xdr:colOff>
      <xdr:row>30</xdr:row>
      <xdr:rowOff>114300</xdr:rowOff>
    </xdr:from>
    <xdr:to>
      <xdr:col>11</xdr:col>
      <xdr:colOff>63500</xdr:colOff>
      <xdr:row>48</xdr:row>
      <xdr:rowOff>76200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0"/>
  <sheetViews>
    <sheetView workbookViewId="0">
      <selection sqref="A1:J1"/>
    </sheetView>
  </sheetViews>
  <sheetFormatPr baseColWidth="10" defaultColWidth="8.83203125" defaultRowHeight="15"/>
  <cols>
    <col min="1" max="1" width="24" customWidth="1"/>
    <col min="2" max="2" width="78" customWidth="1"/>
  </cols>
  <sheetData>
    <row r="1" spans="1:52" ht="37.2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26.75" customHeight="1">
      <c r="A5" s="20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32">
      <c r="A6" s="4" t="s">
        <v>3</v>
      </c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32">
      <c r="A7" s="4" t="s">
        <v>5</v>
      </c>
      <c r="B7" s="5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6">
      <c r="A8" s="4" t="s">
        <v>7</v>
      </c>
      <c r="B8" s="5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6">
      <c r="A9" s="4" t="s">
        <v>9</v>
      </c>
      <c r="B9" s="5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6">
      <c r="A10" s="4" t="s">
        <v>11</v>
      </c>
      <c r="B10" s="5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6">
      <c r="A11" s="4" t="s">
        <v>13</v>
      </c>
      <c r="B11" s="5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6">
      <c r="A12" s="4" t="s">
        <v>15</v>
      </c>
      <c r="B12" s="5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6.75" customHeight="1">
      <c r="A15" s="20" t="s">
        <v>17</v>
      </c>
      <c r="B15" s="20"/>
      <c r="C15" s="20"/>
      <c r="D15" s="20"/>
      <c r="E15" s="20"/>
      <c r="F15" s="20"/>
      <c r="G15" s="20"/>
      <c r="H15" s="20"/>
      <c r="I15" s="20"/>
      <c r="J15" s="2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21" t="s">
        <v>18</v>
      </c>
      <c r="B16" s="21"/>
      <c r="C16" s="21"/>
      <c r="D16" s="21"/>
      <c r="E16" s="21"/>
      <c r="F16" s="21"/>
      <c r="G16" s="21"/>
      <c r="H16" s="21"/>
      <c r="I16" s="21"/>
      <c r="J16" s="2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5">
    <mergeCell ref="A1:J1"/>
    <mergeCell ref="A3:J3"/>
    <mergeCell ref="A5:J5"/>
    <mergeCell ref="A15:J15"/>
    <mergeCell ref="A16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20"/>
  <sheetViews>
    <sheetView workbookViewId="0">
      <selection sqref="A1:H1"/>
    </sheetView>
  </sheetViews>
  <sheetFormatPr baseColWidth="10" defaultColWidth="8.83203125" defaultRowHeight="15"/>
  <cols>
    <col min="1" max="1" width="28" customWidth="1"/>
    <col min="2" max="2" width="18" customWidth="1"/>
    <col min="3" max="3" width="10" bestFit="1" customWidth="1"/>
    <col min="4" max="4" width="22" customWidth="1"/>
    <col min="5" max="5" width="10" bestFit="1" customWidth="1"/>
    <col min="6" max="6" width="30" customWidth="1"/>
    <col min="7" max="7" width="18" customWidth="1"/>
    <col min="8" max="8" width="12" customWidth="1"/>
    <col min="9" max="9" width="24" customWidth="1"/>
  </cols>
  <sheetData>
    <row r="1" spans="1:52" ht="37.25" customHeight="1">
      <c r="A1" s="22" t="s">
        <v>19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7" t="s">
        <v>20</v>
      </c>
      <c r="B3" s="27"/>
      <c r="C3" s="27"/>
      <c r="D3" s="27"/>
      <c r="E3" s="27"/>
      <c r="F3" s="27"/>
      <c r="G3" s="27"/>
      <c r="H3" s="2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26.75" customHeight="1">
      <c r="A5" s="20" t="s">
        <v>21</v>
      </c>
      <c r="B5" s="20"/>
      <c r="C5" s="20"/>
      <c r="D5" s="20"/>
      <c r="E5" s="1"/>
      <c r="F5" s="20" t="s">
        <v>22</v>
      </c>
      <c r="G5" s="20"/>
      <c r="H5" s="20"/>
      <c r="I5" s="2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6">
      <c r="A6" s="6" t="s">
        <v>23</v>
      </c>
      <c r="B6" s="6" t="s">
        <v>24</v>
      </c>
      <c r="C6" s="6" t="s">
        <v>25</v>
      </c>
      <c r="D6" s="6" t="s">
        <v>26</v>
      </c>
      <c r="E6" s="1"/>
      <c r="F6" s="6" t="s">
        <v>23</v>
      </c>
      <c r="G6" s="6" t="s">
        <v>24</v>
      </c>
      <c r="H6" s="6" t="s">
        <v>25</v>
      </c>
      <c r="I6" s="6" t="s">
        <v>26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7" t="s">
        <v>27</v>
      </c>
      <c r="B7" s="7">
        <v>8300000</v>
      </c>
      <c r="C7" s="7" t="s">
        <v>28</v>
      </c>
      <c r="D7" s="7" t="s">
        <v>21</v>
      </c>
      <c r="E7" s="1"/>
      <c r="F7" s="7" t="s">
        <v>29</v>
      </c>
      <c r="G7" s="7">
        <v>857522.2194340874</v>
      </c>
      <c r="H7" s="7" t="s">
        <v>28</v>
      </c>
      <c r="I7" s="7" t="s">
        <v>30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7" t="s">
        <v>31</v>
      </c>
      <c r="B8" s="7">
        <v>8230000</v>
      </c>
      <c r="C8" s="7" t="s">
        <v>28</v>
      </c>
      <c r="D8" s="7" t="s">
        <v>32</v>
      </c>
      <c r="E8" s="1"/>
      <c r="F8" s="7" t="s">
        <v>33</v>
      </c>
      <c r="G8" s="7">
        <v>1151225.0000000005</v>
      </c>
      <c r="H8" s="7" t="s">
        <v>28</v>
      </c>
      <c r="I8" s="7" t="s">
        <v>34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7" t="s">
        <v>35</v>
      </c>
      <c r="B9" s="7">
        <v>3741375</v>
      </c>
      <c r="C9" s="7" t="s">
        <v>28</v>
      </c>
      <c r="D9" s="7" t="s">
        <v>21</v>
      </c>
      <c r="E9" s="1"/>
      <c r="F9" s="7" t="s">
        <v>36</v>
      </c>
      <c r="G9" s="7">
        <v>35000</v>
      </c>
      <c r="H9" s="7" t="s">
        <v>28</v>
      </c>
      <c r="I9" s="7" t="s">
        <v>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7" t="s">
        <v>38</v>
      </c>
      <c r="B10" s="7">
        <v>3703500</v>
      </c>
      <c r="C10" s="7" t="s">
        <v>28</v>
      </c>
      <c r="D10" s="7" t="s">
        <v>32</v>
      </c>
      <c r="E10" s="1"/>
      <c r="F10" s="7" t="s">
        <v>39</v>
      </c>
      <c r="G10" s="7">
        <v>660084.80000000005</v>
      </c>
      <c r="H10" s="7" t="s">
        <v>28</v>
      </c>
      <c r="I10" s="7" t="s">
        <v>30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7" t="s">
        <v>40</v>
      </c>
      <c r="B11" s="7">
        <v>0.45076807228915661</v>
      </c>
      <c r="C11" s="7" t="s">
        <v>41</v>
      </c>
      <c r="D11" s="7" t="s">
        <v>21</v>
      </c>
      <c r="E11" s="1"/>
      <c r="F11" s="7" t="s">
        <v>42</v>
      </c>
      <c r="G11" s="7">
        <v>114000</v>
      </c>
      <c r="H11" s="7" t="s">
        <v>28</v>
      </c>
      <c r="I11" s="7" t="s">
        <v>30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7" t="s">
        <v>43</v>
      </c>
      <c r="B12" s="7">
        <v>0.45</v>
      </c>
      <c r="C12" s="7" t="s">
        <v>41</v>
      </c>
      <c r="D12" s="7" t="s">
        <v>32</v>
      </c>
      <c r="E12" s="1"/>
      <c r="F12" s="7" t="s">
        <v>44</v>
      </c>
      <c r="G12" s="7">
        <v>945000</v>
      </c>
      <c r="H12" s="7" t="s">
        <v>28</v>
      </c>
      <c r="I12" s="7" t="s">
        <v>30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7" t="s">
        <v>45</v>
      </c>
      <c r="B13" s="7">
        <v>1709430.3039057294</v>
      </c>
      <c r="C13" s="7" t="s">
        <v>28</v>
      </c>
      <c r="D13" s="7" t="s">
        <v>21</v>
      </c>
      <c r="E13" s="1"/>
      <c r="F13" s="7" t="s">
        <v>46</v>
      </c>
      <c r="G13" s="7">
        <v>1639931.9563514313</v>
      </c>
      <c r="H13" s="7" t="s">
        <v>28</v>
      </c>
      <c r="I13" s="7" t="s">
        <v>47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7" t="s">
        <v>48</v>
      </c>
      <c r="B14" s="7">
        <v>1666000</v>
      </c>
      <c r="C14" s="7" t="s">
        <v>28</v>
      </c>
      <c r="D14" s="7" t="s">
        <v>32</v>
      </c>
      <c r="E14" s="1"/>
      <c r="F14" s="7" t="s">
        <v>49</v>
      </c>
      <c r="G14" s="7">
        <v>255000</v>
      </c>
      <c r="H14" s="7" t="s">
        <v>28</v>
      </c>
      <c r="I14" s="7" t="s">
        <v>37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7" t="s">
        <v>50</v>
      </c>
      <c r="B15" s="7">
        <v>648420.63423516159</v>
      </c>
      <c r="C15" s="7" t="s">
        <v>28</v>
      </c>
      <c r="D15" s="7" t="s">
        <v>21</v>
      </c>
      <c r="E15" s="1"/>
      <c r="F15" s="7" t="s">
        <v>51</v>
      </c>
      <c r="G15" s="7">
        <v>60000</v>
      </c>
      <c r="H15" s="7" t="s">
        <v>28</v>
      </c>
      <c r="I15" s="7" t="s">
        <v>37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7" t="s">
        <v>52</v>
      </c>
      <c r="B16" s="7">
        <v>619200</v>
      </c>
      <c r="C16" s="7" t="s">
        <v>28</v>
      </c>
      <c r="D16" s="7" t="s">
        <v>32</v>
      </c>
      <c r="E16" s="1"/>
      <c r="F16" s="7" t="s">
        <v>53</v>
      </c>
      <c r="G16" s="7">
        <v>35000</v>
      </c>
      <c r="H16" s="7" t="s">
        <v>28</v>
      </c>
      <c r="I16" s="7" t="s">
        <v>37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7" t="s">
        <v>54</v>
      </c>
      <c r="B17" s="7">
        <v>187761.23069004598</v>
      </c>
      <c r="C17" s="7" t="s">
        <v>28</v>
      </c>
      <c r="D17" s="7" t="s">
        <v>21</v>
      </c>
      <c r="E17" s="1"/>
      <c r="F17" s="7" t="s">
        <v>55</v>
      </c>
      <c r="G17" s="7">
        <v>0</v>
      </c>
      <c r="H17" s="7" t="s">
        <v>28</v>
      </c>
      <c r="I17" s="7" t="s">
        <v>30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7" t="s">
        <v>56</v>
      </c>
      <c r="B18" s="7">
        <v>190800</v>
      </c>
      <c r="C18" s="7" t="s">
        <v>28</v>
      </c>
      <c r="D18" s="7" t="s">
        <v>32</v>
      </c>
      <c r="E18" s="1"/>
      <c r="F18" s="7" t="s">
        <v>57</v>
      </c>
      <c r="G18" s="7">
        <v>0</v>
      </c>
      <c r="H18" s="7" t="s">
        <v>28</v>
      </c>
      <c r="I18" s="7" t="s">
        <v>58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7" t="s">
        <v>59</v>
      </c>
      <c r="B19" s="7">
        <v>140360.19237622328</v>
      </c>
      <c r="C19" s="7" t="s">
        <v>28</v>
      </c>
      <c r="D19" s="7" t="s">
        <v>21</v>
      </c>
      <c r="E19" s="1"/>
      <c r="F19" s="7" t="s">
        <v>60</v>
      </c>
      <c r="G19" s="7">
        <v>0</v>
      </c>
      <c r="H19" s="7" t="s">
        <v>28</v>
      </c>
      <c r="I19" s="7" t="s">
        <v>34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7" t="s">
        <v>61</v>
      </c>
      <c r="B20" s="7">
        <v>146700</v>
      </c>
      <c r="C20" s="7" t="s">
        <v>28</v>
      </c>
      <c r="D20" s="7" t="s">
        <v>32</v>
      </c>
      <c r="E20" s="1"/>
      <c r="F20" s="7" t="s">
        <v>62</v>
      </c>
      <c r="G20" s="7">
        <v>2.3283064365386963E-10</v>
      </c>
      <c r="H20" s="7" t="s">
        <v>28</v>
      </c>
      <c r="I20" s="7" t="s">
        <v>47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7" t="s">
        <v>63</v>
      </c>
      <c r="B21" s="7">
        <v>214200</v>
      </c>
      <c r="C21" s="7" t="s">
        <v>28</v>
      </c>
      <c r="D21" s="7" t="s">
        <v>21</v>
      </c>
      <c r="E21" s="1"/>
      <c r="F21" s="7" t="s">
        <v>64</v>
      </c>
      <c r="G21" s="7">
        <v>25758.164972506205</v>
      </c>
      <c r="H21" s="7" t="s">
        <v>28</v>
      </c>
      <c r="I21" s="7" t="s">
        <v>34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7" t="s">
        <v>65</v>
      </c>
      <c r="B22" s="7">
        <v>207000</v>
      </c>
      <c r="C22" s="7" t="s">
        <v>28</v>
      </c>
      <c r="D22" s="7" t="s">
        <v>32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7" t="s">
        <v>66</v>
      </c>
      <c r="B23" s="7">
        <v>82754.484682909737</v>
      </c>
      <c r="C23" s="7" t="s">
        <v>28</v>
      </c>
      <c r="D23" s="7" t="s">
        <v>21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26.75" customHeight="1">
      <c r="A24" s="7" t="s">
        <v>67</v>
      </c>
      <c r="B24" s="7">
        <v>81000</v>
      </c>
      <c r="C24" s="7" t="s">
        <v>28</v>
      </c>
      <c r="D24" s="7" t="s">
        <v>32</v>
      </c>
      <c r="E24" s="1"/>
      <c r="F24" s="20" t="s">
        <v>68</v>
      </c>
      <c r="G24" s="20"/>
      <c r="H24" s="20"/>
      <c r="I24" s="2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6">
      <c r="A25" s="7" t="s">
        <v>69</v>
      </c>
      <c r="B25" s="7">
        <v>-7599.9369173431187</v>
      </c>
      <c r="C25" s="7" t="s">
        <v>28</v>
      </c>
      <c r="D25" s="7" t="s">
        <v>21</v>
      </c>
      <c r="E25" s="1"/>
      <c r="F25" s="6" t="s">
        <v>23</v>
      </c>
      <c r="G25" s="6" t="s">
        <v>24</v>
      </c>
      <c r="H25" s="6" t="s">
        <v>25</v>
      </c>
      <c r="I25" s="6" t="s">
        <v>26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7" t="s">
        <v>70</v>
      </c>
      <c r="B26" s="7">
        <v>27890</v>
      </c>
      <c r="C26" s="7" t="s">
        <v>28</v>
      </c>
      <c r="D26" s="7" t="s">
        <v>32</v>
      </c>
      <c r="E26" s="1"/>
      <c r="F26" s="7" t="s">
        <v>71</v>
      </c>
      <c r="G26" s="7">
        <v>34.026354679802964</v>
      </c>
      <c r="H26" s="7" t="s">
        <v>72</v>
      </c>
      <c r="I26" s="7" t="s">
        <v>73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7" t="s">
        <v>74</v>
      </c>
      <c r="B27" s="7">
        <v>-197099.93691734312</v>
      </c>
      <c r="C27" s="7" t="s">
        <v>28</v>
      </c>
      <c r="D27" s="7" t="s">
        <v>21</v>
      </c>
      <c r="E27" s="1"/>
      <c r="F27" s="7" t="s">
        <v>75</v>
      </c>
      <c r="G27" s="7">
        <v>35.797973516518283</v>
      </c>
      <c r="H27" s="7" t="s">
        <v>72</v>
      </c>
      <c r="I27" s="7" t="s">
        <v>73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7" t="s">
        <v>76</v>
      </c>
      <c r="B28" s="7">
        <v>-183610</v>
      </c>
      <c r="C28" s="7" t="s">
        <v>28</v>
      </c>
      <c r="D28" s="7" t="s">
        <v>32</v>
      </c>
      <c r="E28" s="1"/>
      <c r="F28" s="7" t="s">
        <v>77</v>
      </c>
      <c r="G28" s="7">
        <v>88.937422498382844</v>
      </c>
      <c r="H28" s="7" t="s">
        <v>72</v>
      </c>
      <c r="I28" s="7" t="s">
        <v>73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7" t="s">
        <v>78</v>
      </c>
      <c r="B29" s="7">
        <v>1015000</v>
      </c>
      <c r="C29" s="7" t="s">
        <v>28</v>
      </c>
      <c r="D29" s="7" t="s">
        <v>21</v>
      </c>
      <c r="E29" s="1"/>
      <c r="F29" s="7" t="s">
        <v>79</v>
      </c>
      <c r="G29" s="7">
        <v>-19.113094302061597</v>
      </c>
      <c r="H29" s="7" t="s">
        <v>72</v>
      </c>
      <c r="I29" s="7" t="s">
        <v>73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7" t="s">
        <v>80</v>
      </c>
      <c r="B30" s="7">
        <v>553175</v>
      </c>
      <c r="C30" s="7" t="s">
        <v>28</v>
      </c>
      <c r="D30" s="7" t="s">
        <v>21</v>
      </c>
      <c r="E30" s="1"/>
      <c r="F30" s="7" t="s">
        <v>81</v>
      </c>
      <c r="G30" s="7">
        <v>171377.84364856919</v>
      </c>
      <c r="H30" s="7" t="s">
        <v>28</v>
      </c>
      <c r="I30" s="7" t="s">
        <v>73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7" t="s">
        <v>82</v>
      </c>
      <c r="G31" s="7">
        <v>1.5102085707941547E-2</v>
      </c>
      <c r="H31" s="7" t="s">
        <v>41</v>
      </c>
      <c r="I31" s="7" t="s">
        <v>34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/>
      <c r="B32" s="1"/>
      <c r="C32" s="1"/>
      <c r="D32" s="1"/>
      <c r="E32" s="1"/>
      <c r="F32" s="7" t="s">
        <v>83</v>
      </c>
      <c r="G32" s="7">
        <v>93403.796231454515</v>
      </c>
      <c r="H32" s="7" t="s">
        <v>28</v>
      </c>
      <c r="I32" s="7" t="s">
        <v>34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26.75" customHeight="1">
      <c r="A33" s="20" t="s">
        <v>84</v>
      </c>
      <c r="B33" s="20"/>
      <c r="C33" s="20"/>
      <c r="D33" s="20"/>
      <c r="E33" s="20"/>
      <c r="F33" s="26" t="s">
        <v>85</v>
      </c>
      <c r="G33" s="26">
        <v>17385.898619125015</v>
      </c>
      <c r="H33" s="26" t="s">
        <v>28</v>
      </c>
      <c r="I33" s="7" t="s">
        <v>34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32">
      <c r="A34" s="6" t="s">
        <v>86</v>
      </c>
      <c r="B34" s="6" t="s">
        <v>87</v>
      </c>
      <c r="C34" s="6" t="s">
        <v>88</v>
      </c>
      <c r="D34" s="6" t="s">
        <v>89</v>
      </c>
      <c r="E34" s="6" t="s">
        <v>90</v>
      </c>
      <c r="F34" s="8" t="s">
        <v>91</v>
      </c>
      <c r="G34" s="8" t="s">
        <v>92</v>
      </c>
      <c r="H34" s="8" t="s">
        <v>93</v>
      </c>
      <c r="I34" s="8" t="s">
        <v>94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7">
        <v>1</v>
      </c>
      <c r="B35" s="9">
        <v>46300</v>
      </c>
      <c r="C35" s="10">
        <v>494374</v>
      </c>
      <c r="D35" s="10">
        <v>484265.03039731487</v>
      </c>
      <c r="E35" s="10">
        <v>0</v>
      </c>
      <c r="F35" s="10">
        <v>52000</v>
      </c>
      <c r="G35" s="10">
        <v>27000</v>
      </c>
      <c r="H35" s="10">
        <v>0</v>
      </c>
      <c r="I35" s="10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7">
        <v>2</v>
      </c>
      <c r="B36" s="9">
        <v>46307</v>
      </c>
      <c r="C36" s="10">
        <v>471349.5</v>
      </c>
      <c r="D36" s="10">
        <v>451466.39127028629</v>
      </c>
      <c r="E36" s="10">
        <v>0</v>
      </c>
      <c r="F36" s="10">
        <v>0</v>
      </c>
      <c r="G36" s="10">
        <v>27000</v>
      </c>
      <c r="H36" s="10">
        <v>0</v>
      </c>
      <c r="I36" s="10"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7">
        <v>3</v>
      </c>
      <c r="B37" s="9">
        <v>46314</v>
      </c>
      <c r="C37" s="10">
        <v>425300.5</v>
      </c>
      <c r="D37" s="10">
        <v>418667.75214325765</v>
      </c>
      <c r="E37" s="10">
        <v>0</v>
      </c>
      <c r="F37" s="10">
        <v>0</v>
      </c>
      <c r="G37" s="10">
        <v>27000</v>
      </c>
      <c r="H37" s="10">
        <v>0</v>
      </c>
      <c r="I37" s="10"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7">
        <v>4</v>
      </c>
      <c r="B38" s="9">
        <v>46321</v>
      </c>
      <c r="C38" s="10">
        <v>356227</v>
      </c>
      <c r="D38" s="10">
        <v>353070.47388920037</v>
      </c>
      <c r="E38" s="10">
        <v>215000</v>
      </c>
      <c r="F38" s="10">
        <v>0</v>
      </c>
      <c r="G38" s="10">
        <v>27000</v>
      </c>
      <c r="H38" s="10">
        <v>0</v>
      </c>
      <c r="I38" s="10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7">
        <v>5</v>
      </c>
      <c r="B39" s="9">
        <v>46328</v>
      </c>
      <c r="C39" s="10">
        <v>218080</v>
      </c>
      <c r="D39" s="10">
        <v>123480</v>
      </c>
      <c r="E39" s="10">
        <v>0</v>
      </c>
      <c r="F39" s="10">
        <v>52000</v>
      </c>
      <c r="G39" s="10">
        <v>27000</v>
      </c>
      <c r="H39" s="10">
        <v>0</v>
      </c>
      <c r="I39" s="10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7">
        <v>6</v>
      </c>
      <c r="B40" s="9">
        <v>46335</v>
      </c>
      <c r="C40" s="10">
        <v>218080</v>
      </c>
      <c r="D40" s="10">
        <v>123480</v>
      </c>
      <c r="E40" s="10">
        <v>0</v>
      </c>
      <c r="F40" s="10">
        <v>0</v>
      </c>
      <c r="G40" s="10">
        <v>27000</v>
      </c>
      <c r="H40" s="10">
        <v>45000</v>
      </c>
      <c r="I40" s="10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7">
        <v>7</v>
      </c>
      <c r="B41" s="9">
        <v>46342</v>
      </c>
      <c r="C41" s="10">
        <v>218080</v>
      </c>
      <c r="D41" s="10">
        <v>123480</v>
      </c>
      <c r="E41" s="10">
        <v>0</v>
      </c>
      <c r="F41" s="10">
        <v>0</v>
      </c>
      <c r="G41" s="10">
        <v>27000</v>
      </c>
      <c r="H41" s="10">
        <v>0</v>
      </c>
      <c r="I41" s="10"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7">
        <v>8</v>
      </c>
      <c r="B42" s="9">
        <v>46349</v>
      </c>
      <c r="C42" s="10">
        <v>218080</v>
      </c>
      <c r="D42" s="10">
        <v>123480</v>
      </c>
      <c r="E42" s="10">
        <v>215000</v>
      </c>
      <c r="F42" s="10">
        <v>0</v>
      </c>
      <c r="G42" s="10">
        <v>27000</v>
      </c>
      <c r="H42" s="10">
        <v>0</v>
      </c>
      <c r="I42" s="10"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7">
        <v>9</v>
      </c>
      <c r="B43" s="9">
        <v>46356</v>
      </c>
      <c r="C43" s="10">
        <v>218080</v>
      </c>
      <c r="D43" s="10">
        <v>123480</v>
      </c>
      <c r="E43" s="10">
        <v>0</v>
      </c>
      <c r="F43" s="10">
        <v>52000</v>
      </c>
      <c r="G43" s="10">
        <v>27000</v>
      </c>
      <c r="H43" s="10">
        <v>0</v>
      </c>
      <c r="I43" s="10"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7">
        <v>10</v>
      </c>
      <c r="B44" s="9">
        <v>46363</v>
      </c>
      <c r="C44" s="10">
        <v>218080</v>
      </c>
      <c r="D44" s="10">
        <v>123480</v>
      </c>
      <c r="E44" s="10">
        <v>0</v>
      </c>
      <c r="F44" s="10">
        <v>0</v>
      </c>
      <c r="G44" s="10">
        <v>27000</v>
      </c>
      <c r="H44" s="10">
        <v>0</v>
      </c>
      <c r="I44" s="10">
        <v>60000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7">
        <v>11</v>
      </c>
      <c r="B45" s="9">
        <v>46370</v>
      </c>
      <c r="C45" s="10">
        <v>218080</v>
      </c>
      <c r="D45" s="10">
        <v>123480</v>
      </c>
      <c r="E45" s="10">
        <v>0</v>
      </c>
      <c r="F45" s="10">
        <v>0</v>
      </c>
      <c r="G45" s="10">
        <v>27000</v>
      </c>
      <c r="H45" s="10">
        <v>45000</v>
      </c>
      <c r="I45" s="10"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7">
        <v>12</v>
      </c>
      <c r="B46" s="9">
        <v>46377</v>
      </c>
      <c r="C46" s="10">
        <v>218080</v>
      </c>
      <c r="D46" s="10">
        <v>123480</v>
      </c>
      <c r="E46" s="10">
        <v>0</v>
      </c>
      <c r="F46" s="10">
        <v>0</v>
      </c>
      <c r="G46" s="10">
        <v>27000</v>
      </c>
      <c r="H46" s="10">
        <v>0</v>
      </c>
      <c r="I46" s="10"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7">
        <v>13</v>
      </c>
      <c r="B47" s="9">
        <v>46384</v>
      </c>
      <c r="C47" s="10">
        <v>218080</v>
      </c>
      <c r="D47" s="10">
        <v>123480</v>
      </c>
      <c r="E47" s="10">
        <v>215000</v>
      </c>
      <c r="F47" s="10">
        <v>52000</v>
      </c>
      <c r="G47" s="10">
        <v>27000</v>
      </c>
      <c r="H47" s="10">
        <v>0</v>
      </c>
      <c r="I47" s="10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6">
    <mergeCell ref="A33:H33"/>
    <mergeCell ref="A1:H1"/>
    <mergeCell ref="A3:H3"/>
    <mergeCell ref="A5:D5"/>
    <mergeCell ref="F5:I5"/>
    <mergeCell ref="F24:I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20"/>
  <sheetViews>
    <sheetView workbookViewId="0">
      <selection sqref="A1:K1"/>
    </sheetView>
  </sheetViews>
  <sheetFormatPr baseColWidth="10" defaultColWidth="8.83203125" defaultRowHeight="15"/>
  <cols>
    <col min="1" max="1" width="22" customWidth="1"/>
    <col min="2" max="4" width="16" customWidth="1"/>
    <col min="5" max="5" width="13" customWidth="1"/>
    <col min="6" max="6" width="15" customWidth="1"/>
    <col min="7" max="7" width="13" customWidth="1"/>
    <col min="8" max="8" width="36" customWidth="1"/>
    <col min="9" max="9" width="40" customWidth="1"/>
    <col min="10" max="10" width="42" customWidth="1"/>
    <col min="11" max="11" width="24" customWidth="1"/>
  </cols>
  <sheetData>
    <row r="1" spans="1:52" ht="37.25" customHeight="1">
      <c r="A1" s="22" t="s">
        <v>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3" t="s">
        <v>96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>
      <c r="A5" s="6" t="s">
        <v>97</v>
      </c>
      <c r="B5" s="6" t="s">
        <v>98</v>
      </c>
      <c r="C5" s="6" t="s">
        <v>32</v>
      </c>
      <c r="D5" s="6" t="s">
        <v>99</v>
      </c>
      <c r="E5" s="6" t="s">
        <v>100</v>
      </c>
      <c r="F5" s="6" t="s">
        <v>101</v>
      </c>
      <c r="G5" s="6" t="s">
        <v>102</v>
      </c>
      <c r="H5" s="6" t="s">
        <v>103</v>
      </c>
      <c r="I5" s="6" t="s">
        <v>104</v>
      </c>
      <c r="J5" s="6" t="s">
        <v>105</v>
      </c>
      <c r="K5" s="6" t="s">
        <v>106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1" t="s">
        <v>107</v>
      </c>
      <c r="B6" s="11">
        <f>'Source Inputs'!B7</f>
        <v>8300000</v>
      </c>
      <c r="C6" s="11">
        <f>'Source Inputs'!B8</f>
        <v>8230000</v>
      </c>
      <c r="D6" s="11">
        <f t="shared" ref="D6:D16" si="0">B6-C6</f>
        <v>70000</v>
      </c>
      <c r="E6" s="12">
        <f>IFERROR(D6/C6,0)</f>
        <v>8.5054678007290396E-3</v>
      </c>
      <c r="F6" s="1" t="str">
        <f>IF(D6&gt;=0,"Favourable","Adverse")</f>
        <v>Favourable</v>
      </c>
      <c r="G6" s="1" t="str">
        <f t="shared" ref="G6:G16" si="1">IF(ABS(D6)&gt;=25000,"High",IF(ABS(D6)&gt;=10000,"Medium","Low"))</f>
        <v>High</v>
      </c>
      <c r="H6" s="1" t="s">
        <v>108</v>
      </c>
      <c r="I6" s="1" t="s">
        <v>109</v>
      </c>
      <c r="J6" s="1" t="s">
        <v>110</v>
      </c>
      <c r="K6" s="1" t="s">
        <v>111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 t="s">
        <v>112</v>
      </c>
      <c r="B7" s="11">
        <f>'Source Inputs'!B9</f>
        <v>3741375</v>
      </c>
      <c r="C7" s="11">
        <f>'Source Inputs'!B10</f>
        <v>3703500</v>
      </c>
      <c r="D7" s="11">
        <f t="shared" si="0"/>
        <v>37875</v>
      </c>
      <c r="E7" s="12">
        <f>IFERROR(D7/C7,0)</f>
        <v>1.0226812474686108E-2</v>
      </c>
      <c r="F7" s="1" t="str">
        <f>IF(D7&gt;=0,"Favourable","Adverse")</f>
        <v>Favourable</v>
      </c>
      <c r="G7" s="1" t="str">
        <f t="shared" si="1"/>
        <v>High</v>
      </c>
      <c r="H7" s="1" t="s">
        <v>113</v>
      </c>
      <c r="I7" s="1" t="s">
        <v>114</v>
      </c>
      <c r="J7" s="1" t="s">
        <v>115</v>
      </c>
      <c r="K7" s="1" t="s">
        <v>116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 t="s">
        <v>117</v>
      </c>
      <c r="B8" s="11">
        <f>'Source Inputs'!B11</f>
        <v>0.45076807228915661</v>
      </c>
      <c r="C8" s="11">
        <f>'Source Inputs'!B12</f>
        <v>0.45</v>
      </c>
      <c r="D8" s="11">
        <f t="shared" si="0"/>
        <v>7.6807228915659609E-4</v>
      </c>
      <c r="E8" s="12" t="s">
        <v>118</v>
      </c>
      <c r="F8" s="1" t="str">
        <f>IF(D8&gt;=0,"Favourable","Adverse")</f>
        <v>Favourable</v>
      </c>
      <c r="G8" s="1" t="str">
        <f t="shared" si="1"/>
        <v>Low</v>
      </c>
      <c r="H8" s="1" t="s">
        <v>119</v>
      </c>
      <c r="I8" s="1" t="s">
        <v>120</v>
      </c>
      <c r="J8" s="1" t="s">
        <v>121</v>
      </c>
      <c r="K8" s="1" t="s">
        <v>111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 t="s">
        <v>122</v>
      </c>
      <c r="B9" s="11">
        <f>'Source Inputs'!B13</f>
        <v>1709430.3039057294</v>
      </c>
      <c r="C9" s="11">
        <f>'Source Inputs'!B14</f>
        <v>1666000</v>
      </c>
      <c r="D9" s="11">
        <f t="shared" si="0"/>
        <v>43430.303905729437</v>
      </c>
      <c r="E9" s="12">
        <f t="shared" ref="E9:E16" si="2">IFERROR(D9/C9,0)</f>
        <v>2.6068609787352603E-2</v>
      </c>
      <c r="F9" s="1" t="str">
        <f t="shared" ref="F9:F14" si="3">IF(D9&lt;=0,"Favourable","Adverse")</f>
        <v>Adverse</v>
      </c>
      <c r="G9" s="1" t="str">
        <f t="shared" si="1"/>
        <v>High</v>
      </c>
      <c r="H9" s="1" t="s">
        <v>123</v>
      </c>
      <c r="I9" s="1" t="s">
        <v>124</v>
      </c>
      <c r="J9" s="1" t="s">
        <v>125</v>
      </c>
      <c r="K9" s="1" t="s">
        <v>126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 t="s">
        <v>127</v>
      </c>
      <c r="B10" s="11">
        <f>'Source Inputs'!B15</f>
        <v>648420.63423516159</v>
      </c>
      <c r="C10" s="11">
        <f>'Source Inputs'!B16</f>
        <v>619200</v>
      </c>
      <c r="D10" s="11">
        <f t="shared" si="0"/>
        <v>29220.634235161589</v>
      </c>
      <c r="E10" s="12">
        <f t="shared" si="2"/>
        <v>4.7190946762211868E-2</v>
      </c>
      <c r="F10" s="1" t="str">
        <f t="shared" si="3"/>
        <v>Adverse</v>
      </c>
      <c r="G10" s="1" t="str">
        <f t="shared" si="1"/>
        <v>High</v>
      </c>
      <c r="H10" s="1" t="s">
        <v>128</v>
      </c>
      <c r="I10" s="1" t="s">
        <v>129</v>
      </c>
      <c r="J10" s="1" t="s">
        <v>130</v>
      </c>
      <c r="K10" s="1" t="s">
        <v>131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 t="s">
        <v>132</v>
      </c>
      <c r="B11" s="11">
        <f>'Source Inputs'!B17</f>
        <v>187761.23069004598</v>
      </c>
      <c r="C11" s="11">
        <f>'Source Inputs'!B18</f>
        <v>190800</v>
      </c>
      <c r="D11" s="11">
        <f t="shared" si="0"/>
        <v>-3038.7693099540193</v>
      </c>
      <c r="E11" s="12">
        <f t="shared" si="2"/>
        <v>-1.59264638886479E-2</v>
      </c>
      <c r="F11" s="1" t="str">
        <f t="shared" si="3"/>
        <v>Favourable</v>
      </c>
      <c r="G11" s="1" t="str">
        <f t="shared" si="1"/>
        <v>Low</v>
      </c>
      <c r="H11" s="1" t="s">
        <v>133</v>
      </c>
      <c r="I11" s="1" t="s">
        <v>134</v>
      </c>
      <c r="J11" s="1" t="s">
        <v>135</v>
      </c>
      <c r="K11" s="1" t="s">
        <v>136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 t="s">
        <v>137</v>
      </c>
      <c r="B12" s="11">
        <f>'Source Inputs'!B19</f>
        <v>140360.19237622328</v>
      </c>
      <c r="C12" s="11">
        <f>'Source Inputs'!B20</f>
        <v>146700</v>
      </c>
      <c r="D12" s="11">
        <f t="shared" si="0"/>
        <v>-6339.8076237767236</v>
      </c>
      <c r="E12" s="12">
        <f t="shared" si="2"/>
        <v>-4.3216139221381893E-2</v>
      </c>
      <c r="F12" s="1" t="str">
        <f t="shared" si="3"/>
        <v>Favourable</v>
      </c>
      <c r="G12" s="1" t="str">
        <f t="shared" si="1"/>
        <v>Low</v>
      </c>
      <c r="H12" s="1" t="s">
        <v>133</v>
      </c>
      <c r="I12" s="1" t="s">
        <v>138</v>
      </c>
      <c r="J12" s="1" t="s">
        <v>139</v>
      </c>
      <c r="K12" s="1" t="s">
        <v>140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 t="s">
        <v>141</v>
      </c>
      <c r="B13" s="11">
        <f>'Source Inputs'!B21</f>
        <v>214200</v>
      </c>
      <c r="C13" s="11">
        <f>'Source Inputs'!B22</f>
        <v>207000</v>
      </c>
      <c r="D13" s="11">
        <f t="shared" si="0"/>
        <v>7200</v>
      </c>
      <c r="E13" s="12">
        <f t="shared" si="2"/>
        <v>3.4782608695652174E-2</v>
      </c>
      <c r="F13" s="1" t="str">
        <f t="shared" si="3"/>
        <v>Adverse</v>
      </c>
      <c r="G13" s="1" t="str">
        <f t="shared" si="1"/>
        <v>Low</v>
      </c>
      <c r="H13" s="1" t="s">
        <v>142</v>
      </c>
      <c r="I13" s="1" t="s">
        <v>143</v>
      </c>
      <c r="J13" s="1" t="s">
        <v>144</v>
      </c>
      <c r="K13" s="1" t="s">
        <v>116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 t="s">
        <v>145</v>
      </c>
      <c r="B14" s="11">
        <f>'Source Inputs'!B23</f>
        <v>82754.484682909737</v>
      </c>
      <c r="C14" s="11">
        <f>'Source Inputs'!B24</f>
        <v>81000</v>
      </c>
      <c r="D14" s="11">
        <f t="shared" si="0"/>
        <v>1754.4846829097369</v>
      </c>
      <c r="E14" s="12">
        <f t="shared" si="2"/>
        <v>2.1660304727280703E-2</v>
      </c>
      <c r="F14" s="1" t="str">
        <f t="shared" si="3"/>
        <v>Adverse</v>
      </c>
      <c r="G14" s="1" t="str">
        <f t="shared" si="1"/>
        <v>Low</v>
      </c>
      <c r="H14" s="1" t="s">
        <v>146</v>
      </c>
      <c r="I14" s="1" t="s">
        <v>147</v>
      </c>
      <c r="J14" s="1" t="s">
        <v>148</v>
      </c>
      <c r="K14" s="1" t="s">
        <v>126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 t="s">
        <v>149</v>
      </c>
      <c r="B15" s="11">
        <f>'Source Inputs'!B25</f>
        <v>-7599.9369173431187</v>
      </c>
      <c r="C15" s="11">
        <f>'Source Inputs'!B26</f>
        <v>27890</v>
      </c>
      <c r="D15" s="11">
        <f t="shared" si="0"/>
        <v>-35489.936917343119</v>
      </c>
      <c r="E15" s="12">
        <f t="shared" si="2"/>
        <v>-1.2724968417835467</v>
      </c>
      <c r="F15" s="1" t="str">
        <f>IF(D15&gt;=0,"Favourable","Adverse")</f>
        <v>Adverse</v>
      </c>
      <c r="G15" s="1" t="str">
        <f t="shared" si="1"/>
        <v>High</v>
      </c>
      <c r="H15" s="1" t="s">
        <v>150</v>
      </c>
      <c r="I15" s="1" t="s">
        <v>151</v>
      </c>
      <c r="J15" s="1" t="s">
        <v>152</v>
      </c>
      <c r="K15" s="1" t="s">
        <v>153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 t="s">
        <v>154</v>
      </c>
      <c r="B16" s="11">
        <f>'Source Inputs'!B27</f>
        <v>-197099.93691734312</v>
      </c>
      <c r="C16" s="11">
        <f>'Source Inputs'!B28</f>
        <v>-183610</v>
      </c>
      <c r="D16" s="11">
        <f t="shared" si="0"/>
        <v>-13489.936917343119</v>
      </c>
      <c r="E16" s="12">
        <f t="shared" si="2"/>
        <v>7.3470600279631385E-2</v>
      </c>
      <c r="F16" s="1" t="str">
        <f>IF(D16&gt;=0,"Favourable","Adverse")</f>
        <v>Adverse</v>
      </c>
      <c r="G16" s="1" t="str">
        <f t="shared" si="1"/>
        <v>Medium</v>
      </c>
      <c r="H16" s="1" t="s">
        <v>155</v>
      </c>
      <c r="I16" s="1" t="s">
        <v>156</v>
      </c>
      <c r="J16" s="1" t="s">
        <v>157</v>
      </c>
      <c r="K16" s="1" t="s">
        <v>153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26.75" customHeight="1">
      <c r="A19" s="20" t="s">
        <v>158</v>
      </c>
      <c r="B19" s="20"/>
      <c r="C19" s="20"/>
      <c r="D19" s="20"/>
      <c r="E19" s="20"/>
      <c r="F19" s="2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6">
      <c r="A20" s="6" t="s">
        <v>23</v>
      </c>
      <c r="B20" s="6" t="s">
        <v>24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 t="s">
        <v>159</v>
      </c>
      <c r="B21" s="11">
        <f>D6</f>
        <v>70000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 t="s">
        <v>160</v>
      </c>
      <c r="B22" s="11">
        <f>D7</f>
        <v>37875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 t="s">
        <v>161</v>
      </c>
      <c r="B23" s="11">
        <f>D9</f>
        <v>43430.303905729437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 t="s">
        <v>162</v>
      </c>
      <c r="B24" s="11">
        <f>D10</f>
        <v>29220.634235161589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 t="s">
        <v>163</v>
      </c>
      <c r="B25" s="11">
        <f>D15</f>
        <v>-35489.936917343119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3">
    <mergeCell ref="A1:K1"/>
    <mergeCell ref="A3:K3"/>
    <mergeCell ref="A19:F19"/>
  </mergeCells>
  <conditionalFormatting sqref="F6:F16">
    <cfRule type="expression" dxfId="6" priority="1">
      <formula>F6="Adverse"</formula>
    </cfRule>
    <cfRule type="expression" dxfId="5" priority="2">
      <formula>F6="Favourable"</formula>
    </cfRule>
  </conditionalFormatting>
  <conditionalFormatting sqref="G6:G16">
    <cfRule type="expression" dxfId="4" priority="3">
      <formula>G6="High"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20"/>
  <sheetViews>
    <sheetView workbookViewId="0">
      <selection sqref="A1:L1"/>
    </sheetView>
  </sheetViews>
  <sheetFormatPr baseColWidth="10" defaultColWidth="8.83203125" defaultRowHeight="15"/>
  <cols>
    <col min="1" max="1" width="28" customWidth="1"/>
    <col min="2" max="3" width="17" customWidth="1"/>
    <col min="4" max="4" width="16" customWidth="1"/>
    <col min="5" max="5" width="12" customWidth="1"/>
    <col min="6" max="6" width="23" customWidth="1"/>
    <col min="7" max="7" width="22" customWidth="1"/>
    <col min="8" max="8" width="42" customWidth="1"/>
    <col min="9" max="9" width="40" customWidth="1"/>
    <col min="10" max="10" width="12" customWidth="1"/>
    <col min="11" max="11" width="20" customWidth="1"/>
    <col min="12" max="12" width="15" customWidth="1"/>
  </cols>
  <sheetData>
    <row r="1" spans="1:52" ht="37.25" customHeight="1">
      <c r="A1" s="22" t="s">
        <v>164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3" t="s">
        <v>165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>
      <c r="A5" s="6" t="s">
        <v>166</v>
      </c>
      <c r="B5" s="6" t="s">
        <v>167</v>
      </c>
      <c r="C5" s="6" t="s">
        <v>168</v>
      </c>
      <c r="D5" s="6" t="s">
        <v>169</v>
      </c>
      <c r="E5" s="6" t="s">
        <v>170</v>
      </c>
      <c r="F5" s="6" t="s">
        <v>171</v>
      </c>
      <c r="G5" s="6" t="s">
        <v>106</v>
      </c>
      <c r="H5" s="6" t="s">
        <v>172</v>
      </c>
      <c r="I5" s="6" t="s">
        <v>105</v>
      </c>
      <c r="J5" s="6" t="s">
        <v>173</v>
      </c>
      <c r="K5" s="6" t="s">
        <v>174</v>
      </c>
      <c r="L5" s="6" t="s">
        <v>175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1" t="s">
        <v>176</v>
      </c>
      <c r="B6" s="11">
        <f>'Source Inputs'!G7</f>
        <v>857522.2194340874</v>
      </c>
      <c r="C6" s="11">
        <f>'Source Inputs'!G7</f>
        <v>857522.2194340874</v>
      </c>
      <c r="D6" s="11">
        <f t="shared" ref="D6:D15" si="0">B6-C6</f>
        <v>0</v>
      </c>
      <c r="E6" s="1" t="str">
        <f t="shared" ref="E6:E15" si="1">IF(ABS(D6)&lt;=1,"PASS",IF(A6="Allowance for Doubtful Debts","REVIEW","CHECK"))</f>
        <v>PASS</v>
      </c>
      <c r="F6" s="1" t="s">
        <v>177</v>
      </c>
      <c r="G6" s="1" t="s">
        <v>178</v>
      </c>
      <c r="H6" s="1" t="s">
        <v>179</v>
      </c>
      <c r="I6" s="1" t="s">
        <v>180</v>
      </c>
      <c r="J6" s="1" t="s">
        <v>181</v>
      </c>
      <c r="K6" s="1" t="s">
        <v>182</v>
      </c>
      <c r="L6" s="1" t="s">
        <v>183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 t="s">
        <v>33</v>
      </c>
      <c r="B7" s="11">
        <f>'Source Inputs'!G8</f>
        <v>1151225.0000000005</v>
      </c>
      <c r="C7" s="11">
        <f>'Source Inputs'!G8</f>
        <v>1151225.0000000005</v>
      </c>
      <c r="D7" s="11">
        <f t="shared" si="0"/>
        <v>0</v>
      </c>
      <c r="E7" s="1" t="str">
        <f t="shared" si="1"/>
        <v>PASS</v>
      </c>
      <c r="F7" s="1" t="s">
        <v>184</v>
      </c>
      <c r="G7" s="1" t="s">
        <v>185</v>
      </c>
      <c r="H7" s="1" t="s">
        <v>186</v>
      </c>
      <c r="I7" s="1" t="s">
        <v>187</v>
      </c>
      <c r="J7" s="1" t="s">
        <v>188</v>
      </c>
      <c r="K7" s="1" t="s">
        <v>189</v>
      </c>
      <c r="L7" s="1" t="s">
        <v>183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 t="s">
        <v>36</v>
      </c>
      <c r="B8" s="11">
        <f>'Source Inputs'!G9</f>
        <v>35000</v>
      </c>
      <c r="C8" s="11">
        <f>'Source Inputs'!G21</f>
        <v>25758.164972506205</v>
      </c>
      <c r="D8" s="11">
        <f t="shared" si="0"/>
        <v>9241.8350274937948</v>
      </c>
      <c r="E8" s="1" t="str">
        <f t="shared" si="1"/>
        <v>REVIEW</v>
      </c>
      <c r="F8" s="1" t="s">
        <v>190</v>
      </c>
      <c r="G8" s="1" t="s">
        <v>126</v>
      </c>
      <c r="H8" s="1" t="s">
        <v>191</v>
      </c>
      <c r="I8" s="1" t="s">
        <v>192</v>
      </c>
      <c r="J8" s="1" t="s">
        <v>188</v>
      </c>
      <c r="K8" s="1" t="s">
        <v>189</v>
      </c>
      <c r="L8" s="1" t="s">
        <v>193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 t="s">
        <v>39</v>
      </c>
      <c r="B9" s="11">
        <f>'Source Inputs'!G10</f>
        <v>660084.80000000005</v>
      </c>
      <c r="C9" s="11">
        <f>'Source Inputs'!G10</f>
        <v>660084.80000000005</v>
      </c>
      <c r="D9" s="11">
        <f t="shared" si="0"/>
        <v>0</v>
      </c>
      <c r="E9" s="1" t="str">
        <f t="shared" si="1"/>
        <v>PASS</v>
      </c>
      <c r="F9" s="1" t="s">
        <v>194</v>
      </c>
      <c r="G9" s="1" t="s">
        <v>136</v>
      </c>
      <c r="H9" s="1" t="s">
        <v>195</v>
      </c>
      <c r="I9" s="1" t="s">
        <v>196</v>
      </c>
      <c r="J9" s="1" t="s">
        <v>188</v>
      </c>
      <c r="K9" s="1" t="s">
        <v>197</v>
      </c>
      <c r="L9" s="1" t="s">
        <v>183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 t="s">
        <v>42</v>
      </c>
      <c r="B10" s="11">
        <f>'Source Inputs'!G11</f>
        <v>114000</v>
      </c>
      <c r="C10" s="11">
        <f>'Source Inputs'!G11</f>
        <v>114000</v>
      </c>
      <c r="D10" s="11">
        <f t="shared" si="0"/>
        <v>0</v>
      </c>
      <c r="E10" s="1" t="str">
        <f t="shared" si="1"/>
        <v>PASS</v>
      </c>
      <c r="F10" s="1" t="s">
        <v>198</v>
      </c>
      <c r="G10" s="1" t="s">
        <v>136</v>
      </c>
      <c r="H10" s="1" t="s">
        <v>199</v>
      </c>
      <c r="I10" s="1" t="s">
        <v>200</v>
      </c>
      <c r="J10" s="1" t="s">
        <v>181</v>
      </c>
      <c r="K10" s="1" t="s">
        <v>201</v>
      </c>
      <c r="L10" s="1" t="s">
        <v>183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 t="s">
        <v>44</v>
      </c>
      <c r="B11" s="11">
        <f>'Source Inputs'!G12</f>
        <v>945000</v>
      </c>
      <c r="C11" s="11">
        <f>'Source Inputs'!G12</f>
        <v>945000</v>
      </c>
      <c r="D11" s="11">
        <f t="shared" si="0"/>
        <v>0</v>
      </c>
      <c r="E11" s="1" t="str">
        <f t="shared" si="1"/>
        <v>PASS</v>
      </c>
      <c r="F11" s="1" t="s">
        <v>202</v>
      </c>
      <c r="G11" s="1" t="s">
        <v>136</v>
      </c>
      <c r="H11" s="1" t="s">
        <v>203</v>
      </c>
      <c r="I11" s="1" t="s">
        <v>204</v>
      </c>
      <c r="J11" s="1" t="s">
        <v>181</v>
      </c>
      <c r="K11" s="1" t="s">
        <v>197</v>
      </c>
      <c r="L11" s="1" t="s">
        <v>183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 t="s">
        <v>46</v>
      </c>
      <c r="B12" s="11">
        <f>'Source Inputs'!G13</f>
        <v>1639931.9563514313</v>
      </c>
      <c r="C12" s="11">
        <f>'Source Inputs'!G13</f>
        <v>1639931.9563514313</v>
      </c>
      <c r="D12" s="11">
        <f t="shared" si="0"/>
        <v>0</v>
      </c>
      <c r="E12" s="1" t="str">
        <f t="shared" si="1"/>
        <v>PASS</v>
      </c>
      <c r="F12" s="1" t="s">
        <v>205</v>
      </c>
      <c r="G12" s="1" t="s">
        <v>206</v>
      </c>
      <c r="H12" s="1" t="s">
        <v>186</v>
      </c>
      <c r="I12" s="1" t="s">
        <v>207</v>
      </c>
      <c r="J12" s="1" t="s">
        <v>188</v>
      </c>
      <c r="K12" s="1" t="s">
        <v>208</v>
      </c>
      <c r="L12" s="1" t="s">
        <v>183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 t="s">
        <v>49</v>
      </c>
      <c r="B13" s="11">
        <f>'Source Inputs'!G14</f>
        <v>255000</v>
      </c>
      <c r="C13" s="11">
        <f>'Source Inputs'!G14</f>
        <v>255000</v>
      </c>
      <c r="D13" s="11">
        <f t="shared" si="0"/>
        <v>0</v>
      </c>
      <c r="E13" s="1" t="str">
        <f t="shared" si="1"/>
        <v>PASS</v>
      </c>
      <c r="F13" s="1" t="s">
        <v>209</v>
      </c>
      <c r="G13" s="1" t="s">
        <v>136</v>
      </c>
      <c r="H13" s="1" t="s">
        <v>210</v>
      </c>
      <c r="I13" s="1" t="s">
        <v>211</v>
      </c>
      <c r="J13" s="1" t="s">
        <v>188</v>
      </c>
      <c r="K13" s="1" t="s">
        <v>201</v>
      </c>
      <c r="L13" s="1" t="s">
        <v>183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 t="s">
        <v>51</v>
      </c>
      <c r="B14" s="11">
        <f>'Source Inputs'!G15</f>
        <v>60000</v>
      </c>
      <c r="C14" s="11">
        <f>'Source Inputs'!G15</f>
        <v>60000</v>
      </c>
      <c r="D14" s="11">
        <f t="shared" si="0"/>
        <v>0</v>
      </c>
      <c r="E14" s="1" t="str">
        <f t="shared" si="1"/>
        <v>PASS</v>
      </c>
      <c r="F14" s="1" t="s">
        <v>212</v>
      </c>
      <c r="G14" s="1" t="s">
        <v>213</v>
      </c>
      <c r="H14" s="1" t="s">
        <v>214</v>
      </c>
      <c r="I14" s="1" t="s">
        <v>215</v>
      </c>
      <c r="J14" s="1" t="s">
        <v>181</v>
      </c>
      <c r="K14" s="1" t="s">
        <v>197</v>
      </c>
      <c r="L14" s="1" t="s">
        <v>183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 t="s">
        <v>53</v>
      </c>
      <c r="B15" s="11">
        <f>'Source Inputs'!G16</f>
        <v>35000</v>
      </c>
      <c r="C15" s="11">
        <f>'Source Inputs'!G16</f>
        <v>35000</v>
      </c>
      <c r="D15" s="11">
        <f t="shared" si="0"/>
        <v>0</v>
      </c>
      <c r="E15" s="1" t="str">
        <f t="shared" si="1"/>
        <v>PASS</v>
      </c>
      <c r="F15" s="1" t="s">
        <v>216</v>
      </c>
      <c r="G15" s="1" t="s">
        <v>126</v>
      </c>
      <c r="H15" s="1" t="s">
        <v>217</v>
      </c>
      <c r="I15" s="1" t="s">
        <v>218</v>
      </c>
      <c r="J15" s="1" t="s">
        <v>181</v>
      </c>
      <c r="K15" s="1" t="s">
        <v>197</v>
      </c>
      <c r="L15" s="1" t="s">
        <v>183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6.75" customHeight="1">
      <c r="A18" s="20" t="s">
        <v>219</v>
      </c>
      <c r="B18" s="20"/>
      <c r="C18" s="20"/>
      <c r="D18" s="20"/>
      <c r="E18" s="20"/>
      <c r="F18" s="2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6">
      <c r="A19" s="6" t="s">
        <v>23</v>
      </c>
      <c r="B19" s="6" t="s">
        <v>24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 t="s">
        <v>220</v>
      </c>
      <c r="B20" s="1">
        <f>COUNTIF(E6:E15,"PASS")</f>
        <v>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 t="s">
        <v>221</v>
      </c>
      <c r="B21" s="1">
        <f>COUNTIF(E6:E15,"REVIEW")</f>
        <v>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 t="s">
        <v>222</v>
      </c>
      <c r="B22" s="1">
        <f>COUNTIF(E6:E15,"CHECK")</f>
        <v>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 t="s">
        <v>223</v>
      </c>
      <c r="B23" s="11">
        <f>'Source Inputs'!G17</f>
        <v>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3">
    <mergeCell ref="A1:L1"/>
    <mergeCell ref="A3:L3"/>
    <mergeCell ref="A18:F18"/>
  </mergeCells>
  <conditionalFormatting sqref="E6:E15">
    <cfRule type="expression" dxfId="3" priority="1">
      <formula>E6="PASS"</formula>
    </cfRule>
    <cfRule type="expression" dxfId="2" priority="2">
      <formula>E6="REVIEW"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20"/>
  <sheetViews>
    <sheetView workbookViewId="0">
      <selection sqref="A1:L1"/>
    </sheetView>
  </sheetViews>
  <sheetFormatPr baseColWidth="10" defaultColWidth="8.83203125" defaultRowHeight="15"/>
  <cols>
    <col min="1" max="1" width="20" customWidth="1"/>
    <col min="2" max="2" width="17" customWidth="1"/>
    <col min="3" max="4" width="16" customWidth="1"/>
    <col min="5" max="5" width="46" customWidth="1"/>
    <col min="6" max="6" width="21" customWidth="1"/>
    <col min="7" max="7" width="14" customWidth="1"/>
    <col min="8" max="8" width="22" customWidth="1"/>
    <col min="9" max="9" width="12" customWidth="1"/>
    <col min="10" max="10" width="14" customWidth="1"/>
    <col min="11" max="11" width="18" customWidth="1"/>
    <col min="12" max="12" width="40" customWidth="1"/>
  </cols>
  <sheetData>
    <row r="1" spans="1:52" ht="37.25" customHeight="1">
      <c r="A1" s="22" t="s">
        <v>224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7" t="s">
        <v>225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6">
      <c r="A5" s="6" t="s">
        <v>226</v>
      </c>
      <c r="B5" s="6" t="s">
        <v>227</v>
      </c>
      <c r="C5" s="6" t="s">
        <v>228</v>
      </c>
      <c r="D5" s="6" t="s">
        <v>229</v>
      </c>
      <c r="E5" s="6" t="s">
        <v>105</v>
      </c>
      <c r="F5" s="6" t="s">
        <v>230</v>
      </c>
      <c r="G5" s="6" t="s">
        <v>231</v>
      </c>
      <c r="H5" s="6" t="s">
        <v>106</v>
      </c>
      <c r="I5" s="6" t="s">
        <v>232</v>
      </c>
      <c r="J5" s="6" t="s">
        <v>173</v>
      </c>
      <c r="K5" s="6" t="s">
        <v>233</v>
      </c>
      <c r="L5" s="6" t="s">
        <v>234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1" t="s">
        <v>71</v>
      </c>
      <c r="B6" s="13">
        <f>'Source Inputs'!G26</f>
        <v>34.026354679802964</v>
      </c>
      <c r="C6" s="13">
        <v>32</v>
      </c>
      <c r="D6" s="13">
        <f>B6-C6</f>
        <v>2.0263546798029637</v>
      </c>
      <c r="E6" s="1" t="s">
        <v>235</v>
      </c>
      <c r="F6" s="11">
        <f>('Source Inputs'!B29/30)*MAX(B6-C6,0)</f>
        <v>68558.333333333605</v>
      </c>
      <c r="G6" s="1" t="s">
        <v>236</v>
      </c>
      <c r="H6" s="1" t="s">
        <v>185</v>
      </c>
      <c r="I6" s="1" t="s">
        <v>237</v>
      </c>
      <c r="J6" s="1" t="s">
        <v>188</v>
      </c>
      <c r="K6" s="1" t="s">
        <v>71</v>
      </c>
      <c r="L6" s="1" t="s">
        <v>238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 t="s">
        <v>75</v>
      </c>
      <c r="B7" s="13">
        <f>'Source Inputs'!G27</f>
        <v>35.797973516518283</v>
      </c>
      <c r="C7" s="13">
        <v>33</v>
      </c>
      <c r="D7" s="13">
        <f>B7-C7</f>
        <v>2.7979735165182831</v>
      </c>
      <c r="E7" s="1" t="s">
        <v>239</v>
      </c>
      <c r="F7" s="11">
        <f>('Source Inputs'!B30/30)*MAX(B7-C7,0)</f>
        <v>51592.300000000047</v>
      </c>
      <c r="G7" s="1" t="s">
        <v>240</v>
      </c>
      <c r="H7" s="1" t="s">
        <v>241</v>
      </c>
      <c r="I7" s="1" t="s">
        <v>237</v>
      </c>
      <c r="J7" s="1" t="s">
        <v>188</v>
      </c>
      <c r="K7" s="1" t="s">
        <v>75</v>
      </c>
      <c r="L7" s="1" t="s">
        <v>238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 t="s">
        <v>77</v>
      </c>
      <c r="B8" s="13">
        <f>'Source Inputs'!G28</f>
        <v>88.937422498382844</v>
      </c>
      <c r="C8" s="13">
        <v>80</v>
      </c>
      <c r="D8" s="13">
        <f>B8-C8</f>
        <v>8.9374224983828441</v>
      </c>
      <c r="E8" s="1" t="s">
        <v>242</v>
      </c>
      <c r="F8" s="11">
        <f>-('Source Inputs'!B30/30)*MAX(B8-C8,0)</f>
        <v>-164798.62301809766</v>
      </c>
      <c r="G8" s="1" t="s">
        <v>240</v>
      </c>
      <c r="H8" s="1" t="s">
        <v>206</v>
      </c>
      <c r="I8" s="1" t="s">
        <v>188</v>
      </c>
      <c r="J8" s="1" t="s">
        <v>243</v>
      </c>
      <c r="K8" s="1" t="s">
        <v>77</v>
      </c>
      <c r="L8" s="1" t="s">
        <v>244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 t="s">
        <v>82</v>
      </c>
      <c r="B9" s="12">
        <f>'Source Inputs'!G31</f>
        <v>1.5102085707941547E-2</v>
      </c>
      <c r="C9" s="12">
        <v>0.01</v>
      </c>
      <c r="D9" s="1">
        <f>B9-C9</f>
        <v>5.1020857079415467E-3</v>
      </c>
      <c r="E9" s="1" t="s">
        <v>245</v>
      </c>
      <c r="F9" s="11">
        <f>'Source Inputs'!G33</f>
        <v>17385.898619125015</v>
      </c>
      <c r="G9" s="1" t="s">
        <v>236</v>
      </c>
      <c r="H9" s="1" t="s">
        <v>185</v>
      </c>
      <c r="I9" s="1" t="s">
        <v>237</v>
      </c>
      <c r="J9" s="1" t="s">
        <v>246</v>
      </c>
      <c r="K9" s="1" t="s">
        <v>247</v>
      </c>
      <c r="L9" s="1" t="s">
        <v>248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 t="s">
        <v>249</v>
      </c>
      <c r="B10" s="11">
        <f>'Source Inputs'!G32+'Source Inputs'!G33</f>
        <v>110789.69485057953</v>
      </c>
      <c r="C10" s="11">
        <v>0</v>
      </c>
      <c r="D10" s="1">
        <f>B10-C10</f>
        <v>110789.69485057953</v>
      </c>
      <c r="E10" s="1" t="s">
        <v>250</v>
      </c>
      <c r="F10" s="11">
        <f>B10*50%</f>
        <v>55394.847425289765</v>
      </c>
      <c r="G10" s="1" t="s">
        <v>236</v>
      </c>
      <c r="H10" s="1" t="s">
        <v>185</v>
      </c>
      <c r="I10" s="1" t="s">
        <v>237</v>
      </c>
      <c r="J10" s="1" t="s">
        <v>246</v>
      </c>
      <c r="K10" s="1" t="s">
        <v>251</v>
      </c>
      <c r="L10" s="1" t="s">
        <v>252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6.75" customHeight="1">
      <c r="A13" s="20" t="s">
        <v>253</v>
      </c>
      <c r="B13" s="20"/>
      <c r="C13" s="20"/>
      <c r="D13" s="20"/>
      <c r="E13" s="20"/>
      <c r="F13" s="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6">
      <c r="A14" s="6" t="s">
        <v>23</v>
      </c>
      <c r="B14" s="6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 t="s">
        <v>254</v>
      </c>
      <c r="B15" s="11">
        <f>MAX(F6,0)</f>
        <v>68558.333333333605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 t="s">
        <v>255</v>
      </c>
      <c r="B16" s="11">
        <f>MAX(F7,0)</f>
        <v>51592.300000000047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 t="s">
        <v>256</v>
      </c>
      <c r="B17" s="11">
        <f>F10</f>
        <v>55394.847425289765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 t="s">
        <v>257</v>
      </c>
      <c r="B18" s="11">
        <f>SUM(B15:B17)</f>
        <v>175545.48075862342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3">
    <mergeCell ref="A1:L1"/>
    <mergeCell ref="A3:L3"/>
    <mergeCell ref="A13:F13"/>
  </mergeCells>
  <conditionalFormatting sqref="I6:I10">
    <cfRule type="expression" dxfId="1" priority="1">
      <formula>I6="High"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20"/>
  <sheetViews>
    <sheetView workbookViewId="0">
      <selection activeCell="H13" sqref="H13"/>
    </sheetView>
  </sheetViews>
  <sheetFormatPr baseColWidth="10" defaultColWidth="8.83203125" defaultRowHeight="15"/>
  <cols>
    <col min="1" max="1" width="20" customWidth="1"/>
    <col min="2" max="2" width="17" customWidth="1"/>
    <col min="3" max="5" width="18" customWidth="1"/>
    <col min="6" max="6" width="38" customWidth="1"/>
    <col min="7" max="7" width="16" customWidth="1"/>
    <col min="8" max="9" width="18" customWidth="1"/>
  </cols>
  <sheetData>
    <row r="1" spans="1:52" ht="37.25" customHeight="1">
      <c r="A1" s="22" t="s">
        <v>258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3" t="s">
        <v>259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32">
      <c r="A5" s="6" t="s">
        <v>260</v>
      </c>
      <c r="B5" s="6" t="s">
        <v>261</v>
      </c>
      <c r="C5" s="6" t="s">
        <v>262</v>
      </c>
      <c r="D5" s="6" t="s">
        <v>263</v>
      </c>
      <c r="E5" s="6" t="s">
        <v>264</v>
      </c>
      <c r="F5" s="6" t="s">
        <v>104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1" t="s">
        <v>265</v>
      </c>
      <c r="B6" s="14">
        <v>1</v>
      </c>
      <c r="C6" s="14">
        <v>1</v>
      </c>
      <c r="D6" s="14">
        <v>1</v>
      </c>
      <c r="E6" s="14">
        <v>1</v>
      </c>
      <c r="F6" s="1" t="s">
        <v>266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1" t="s">
        <v>267</v>
      </c>
      <c r="B7" s="14">
        <v>0.92</v>
      </c>
      <c r="C7" s="14">
        <v>1</v>
      </c>
      <c r="D7" s="14">
        <v>1.05</v>
      </c>
      <c r="E7" s="14">
        <v>1</v>
      </c>
      <c r="F7" s="1" t="s">
        <v>268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 t="s">
        <v>269</v>
      </c>
      <c r="B8" s="14">
        <v>0.85</v>
      </c>
      <c r="C8" s="14">
        <v>1.02</v>
      </c>
      <c r="D8" s="14">
        <v>1.1000000000000001</v>
      </c>
      <c r="E8" s="14">
        <v>1</v>
      </c>
      <c r="F8" s="1" t="s">
        <v>270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 t="s">
        <v>271</v>
      </c>
      <c r="B9" s="14">
        <v>0.97</v>
      </c>
      <c r="C9" s="14">
        <v>0.98</v>
      </c>
      <c r="D9" s="14">
        <v>0.98</v>
      </c>
      <c r="E9" s="14">
        <v>0</v>
      </c>
      <c r="F9" s="1" t="s">
        <v>272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 t="s">
        <v>273</v>
      </c>
      <c r="B10" s="11">
        <v>250000</v>
      </c>
      <c r="C10" s="1"/>
      <c r="D10" s="1"/>
      <c r="E10" s="1"/>
      <c r="F10" s="1" t="s">
        <v>274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32">
      <c r="A13" s="6" t="s">
        <v>86</v>
      </c>
      <c r="B13" s="6" t="s">
        <v>87</v>
      </c>
      <c r="C13" s="6" t="s">
        <v>275</v>
      </c>
      <c r="D13" s="6" t="s">
        <v>276</v>
      </c>
      <c r="E13" s="6" t="s">
        <v>277</v>
      </c>
      <c r="F13" s="6" t="s">
        <v>278</v>
      </c>
      <c r="G13" s="6" t="s">
        <v>273</v>
      </c>
      <c r="H13" s="6" t="s">
        <v>279</v>
      </c>
      <c r="I13" s="6" t="s">
        <v>280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>
        <v>1</v>
      </c>
      <c r="B14" s="15">
        <f>'Source Inputs'!B35</f>
        <v>46300</v>
      </c>
      <c r="C14" s="11">
        <f>'Source Inputs'!G7+('Source Inputs'!C35-'Source Inputs'!D35-'Source Inputs'!E35-'Source Inputs'!F35-'Source Inputs'!G35-'Source Inputs'!H35-'Source Inputs'!I35)</f>
        <v>788631.18903677259</v>
      </c>
      <c r="D14" s="11">
        <f>'Source Inputs'!G7+('Source Inputs'!C35*$B$7-'Source Inputs'!D35*$C$7-'Source Inputs'!E35-'Source Inputs'!F35-'Source Inputs'!G35*$D$7-'Source Inputs'!H35*$E$7-'Source Inputs'!I35)</f>
        <v>747731.26903677254</v>
      </c>
      <c r="E14" s="11">
        <f>'Source Inputs'!G7+('Source Inputs'!C35*$B$8-'Source Inputs'!D35*$C$8-'Source Inputs'!E35-'Source Inputs'!F35-'Source Inputs'!G35*$D$8-'Source Inputs'!H35*$E$8-'Source Inputs'!I35)</f>
        <v>702089.78842882626</v>
      </c>
      <c r="F14" s="11">
        <f>'Source Inputs'!G7+('Source Inputs'!C35*$B$9-'Source Inputs'!D35*$C$9-'Source Inputs'!E35-'Source Inputs'!F35-'Source Inputs'!G35*$D$9-'Source Inputs'!H35*$E$9-'Source Inputs'!I35)</f>
        <v>784025.26964471885</v>
      </c>
      <c r="G14" s="11">
        <f t="shared" ref="G14:G26" si="0">$B$10</f>
        <v>250000</v>
      </c>
      <c r="H14" s="11">
        <f t="shared" ref="H14:H26" si="1">D14-G14</f>
        <v>497731.26903677254</v>
      </c>
      <c r="I14" s="11">
        <f t="shared" ref="I14:I26" si="2">E14-G14</f>
        <v>452089.78842882626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>
        <v>2</v>
      </c>
      <c r="B15" s="15">
        <f>'Source Inputs'!B36</f>
        <v>46307</v>
      </c>
      <c r="C15" s="11">
        <f>C14+('Source Inputs'!C36-'Source Inputs'!D36-'Source Inputs'!E36-'Source Inputs'!F36-'Source Inputs'!G36-'Source Inputs'!H36-'Source Inputs'!I36)</f>
        <v>781514.2977664863</v>
      </c>
      <c r="D15" s="11">
        <f>D14+('Source Inputs'!C36*$B$7-'Source Inputs'!D36*$C$7-'Source Inputs'!E36-'Source Inputs'!F36-'Source Inputs'!G36*$D$7-'Source Inputs'!H36*$E$7-'Source Inputs'!I36)</f>
        <v>701556.41776648629</v>
      </c>
      <c r="E15" s="11">
        <f>E14+('Source Inputs'!C36*$B$8-'Source Inputs'!D36*$C$8-'Source Inputs'!E36-'Source Inputs'!F36-'Source Inputs'!G36*$D$8-'Source Inputs'!H36*$E$8-'Source Inputs'!I36)</f>
        <v>612541.14433313417</v>
      </c>
      <c r="F15" s="11">
        <f>F14+('Source Inputs'!C36*$B$9-'Source Inputs'!D36*$C$9-'Source Inputs'!E36-'Source Inputs'!F36-'Source Inputs'!G36*$D$9-'Source Inputs'!H36*$E$9-'Source Inputs'!I36)</f>
        <v>772337.22119983833</v>
      </c>
      <c r="G15" s="11">
        <f t="shared" si="0"/>
        <v>250000</v>
      </c>
      <c r="H15" s="11">
        <f t="shared" si="1"/>
        <v>451556.41776648629</v>
      </c>
      <c r="I15" s="11">
        <f t="shared" si="2"/>
        <v>362541.14433313417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>
        <v>3</v>
      </c>
      <c r="B16" s="15">
        <f>'Source Inputs'!B37</f>
        <v>46314</v>
      </c>
      <c r="C16" s="11">
        <f>C15+('Source Inputs'!C37-'Source Inputs'!D37-'Source Inputs'!E37-'Source Inputs'!F37-'Source Inputs'!G37-'Source Inputs'!H37-'Source Inputs'!I37)</f>
        <v>761147.04562322865</v>
      </c>
      <c r="D16" s="11">
        <f>D15+('Source Inputs'!C37*$B$7-'Source Inputs'!D37*$C$7-'Source Inputs'!E37-'Source Inputs'!F37-'Source Inputs'!G37*$D$7-'Source Inputs'!H37*$E$7-'Source Inputs'!I37)</f>
        <v>645815.12562322873</v>
      </c>
      <c r="E16" s="11">
        <f>E15+('Source Inputs'!C37*$B$8-'Source Inputs'!D37*$C$8-'Source Inputs'!E37-'Source Inputs'!F37-'Source Inputs'!G37*$D$8-'Source Inputs'!H37*$E$8-'Source Inputs'!I37)</f>
        <v>517305.46214701136</v>
      </c>
      <c r="F16" s="11">
        <f>F15+('Source Inputs'!C37*$B$9-'Source Inputs'!D37*$C$9-'Source Inputs'!E37-'Source Inputs'!F37-'Source Inputs'!G37*$D$9-'Source Inputs'!H37*$E$9-'Source Inputs'!I37)</f>
        <v>748124.30909944582</v>
      </c>
      <c r="G16" s="11">
        <f t="shared" si="0"/>
        <v>250000</v>
      </c>
      <c r="H16" s="11">
        <f t="shared" si="1"/>
        <v>395815.12562322873</v>
      </c>
      <c r="I16" s="11">
        <f t="shared" si="2"/>
        <v>267305.46214701136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>
        <v>4</v>
      </c>
      <c r="B17" s="15">
        <f>'Source Inputs'!B38</f>
        <v>46321</v>
      </c>
      <c r="C17" s="11">
        <f>C16+('Source Inputs'!C38-'Source Inputs'!D38-'Source Inputs'!E38-'Source Inputs'!F38-'Source Inputs'!G38-'Source Inputs'!H38-'Source Inputs'!I38)</f>
        <v>522303.57173402829</v>
      </c>
      <c r="D17" s="11">
        <f>D16+('Source Inputs'!C38*$B$7-'Source Inputs'!D38*$C$7-'Source Inputs'!E38-'Source Inputs'!F38-'Source Inputs'!G38*$D$7-'Source Inputs'!H38*$E$7-'Source Inputs'!I38)</f>
        <v>377123.49173402839</v>
      </c>
      <c r="E17" s="11">
        <f>E16+('Source Inputs'!C38*$B$8-'Source Inputs'!D38*$C$8-'Source Inputs'!E38-'Source Inputs'!F38-'Source Inputs'!G38*$D$8-'Source Inputs'!H38*$E$8-'Source Inputs'!I38)</f>
        <v>215266.528780027</v>
      </c>
      <c r="F17" s="11">
        <f>F16+('Source Inputs'!C38*$B$9-'Source Inputs'!D38*$C$9-'Source Inputs'!E38-'Source Inputs'!F38-'Source Inputs'!G38*$D$9-'Source Inputs'!H38*$E$9-'Source Inputs'!I38)</f>
        <v>506195.43468802946</v>
      </c>
      <c r="G17" s="11">
        <f t="shared" si="0"/>
        <v>250000</v>
      </c>
      <c r="H17" s="11">
        <f t="shared" si="1"/>
        <v>127123.49173402839</v>
      </c>
      <c r="I17" s="11">
        <f t="shared" si="2"/>
        <v>-34733.471219972998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>
        <v>5</v>
      </c>
      <c r="B18" s="15">
        <f>'Source Inputs'!B39</f>
        <v>46328</v>
      </c>
      <c r="C18" s="11">
        <f>C17+('Source Inputs'!C39-'Source Inputs'!D39-'Source Inputs'!E39-'Source Inputs'!F39-'Source Inputs'!G39-'Source Inputs'!H39-'Source Inputs'!I39)</f>
        <v>537903.57173402829</v>
      </c>
      <c r="D18" s="11">
        <f>D17+('Source Inputs'!C39*$B$7-'Source Inputs'!D39*$C$7-'Source Inputs'!E39-'Source Inputs'!F39-'Source Inputs'!G39*$D$7-'Source Inputs'!H39*$E$7-'Source Inputs'!I39)</f>
        <v>373927.09173402842</v>
      </c>
      <c r="E18" s="11">
        <f>E17+('Source Inputs'!C39*$B$8-'Source Inputs'!D39*$C$8-'Source Inputs'!E39-'Source Inputs'!F39-'Source Inputs'!G39*$D$8-'Source Inputs'!H39*$E$8-'Source Inputs'!I39)</f>
        <v>192984.928780027</v>
      </c>
      <c r="F18" s="11">
        <f>F17+('Source Inputs'!C39*$B$9-'Source Inputs'!D39*$C$9-'Source Inputs'!E39-'Source Inputs'!F39-'Source Inputs'!G39*$D$9-'Source Inputs'!H39*$E$9-'Source Inputs'!I39)</f>
        <v>518262.63468802947</v>
      </c>
      <c r="G18" s="11">
        <f t="shared" si="0"/>
        <v>250000</v>
      </c>
      <c r="H18" s="11">
        <f t="shared" si="1"/>
        <v>123927.09173402842</v>
      </c>
      <c r="I18" s="11">
        <f t="shared" si="2"/>
        <v>-57015.071219973004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>
        <v>6</v>
      </c>
      <c r="B19" s="15">
        <f>'Source Inputs'!B40</f>
        <v>46335</v>
      </c>
      <c r="C19" s="11">
        <f>C18+('Source Inputs'!C40-'Source Inputs'!D40-'Source Inputs'!E40-'Source Inputs'!F40-'Source Inputs'!G40-'Source Inputs'!H40-'Source Inputs'!I40)</f>
        <v>560503.57173402829</v>
      </c>
      <c r="D19" s="11">
        <f>D18+('Source Inputs'!C40*$B$7-'Source Inputs'!D40*$C$7-'Source Inputs'!E40-'Source Inputs'!F40-'Source Inputs'!G40*$D$7-'Source Inputs'!H40*$E$7-'Source Inputs'!I40)</f>
        <v>377730.6917340284</v>
      </c>
      <c r="E19" s="11">
        <f>E18+('Source Inputs'!C40*$B$8-'Source Inputs'!D40*$C$8-'Source Inputs'!E40-'Source Inputs'!F40-'Source Inputs'!G40*$D$8-'Source Inputs'!H40*$E$8-'Source Inputs'!I40)</f>
        <v>177703.32878002699</v>
      </c>
      <c r="F19" s="11">
        <f>F18+('Source Inputs'!C40*$B$9-'Source Inputs'!D40*$C$9-'Source Inputs'!E40-'Source Inputs'!F40-'Source Inputs'!G40*$D$9-'Source Inputs'!H40*$E$9-'Source Inputs'!I40)</f>
        <v>582329.83468802948</v>
      </c>
      <c r="G19" s="11">
        <f t="shared" si="0"/>
        <v>250000</v>
      </c>
      <c r="H19" s="11">
        <f t="shared" si="1"/>
        <v>127730.6917340284</v>
      </c>
      <c r="I19" s="11">
        <f t="shared" si="2"/>
        <v>-72296.67121997301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>
        <v>7</v>
      </c>
      <c r="B20" s="15">
        <f>'Source Inputs'!B41</f>
        <v>46342</v>
      </c>
      <c r="C20" s="11">
        <f>C19+('Source Inputs'!C41-'Source Inputs'!D41-'Source Inputs'!E41-'Source Inputs'!F41-'Source Inputs'!G41-'Source Inputs'!H41-'Source Inputs'!I41)</f>
        <v>628103.57173402829</v>
      </c>
      <c r="D20" s="11">
        <f>D19+('Source Inputs'!C41*$B$7-'Source Inputs'!D41*$C$7-'Source Inputs'!E41-'Source Inputs'!F41-'Source Inputs'!G41*$D$7-'Source Inputs'!H41*$E$7-'Source Inputs'!I41)</f>
        <v>426534.29173402837</v>
      </c>
      <c r="E20" s="11">
        <f>E19+('Source Inputs'!C41*$B$8-'Source Inputs'!D41*$C$8-'Source Inputs'!E41-'Source Inputs'!F41-'Source Inputs'!G41*$D$8-'Source Inputs'!H41*$E$8-'Source Inputs'!I41)</f>
        <v>207421.72878002698</v>
      </c>
      <c r="F20" s="11">
        <f>F19+('Source Inputs'!C41*$B$9-'Source Inputs'!D41*$C$9-'Source Inputs'!E41-'Source Inputs'!F41-'Source Inputs'!G41*$D$9-'Source Inputs'!H41*$E$9-'Source Inputs'!I41)</f>
        <v>646397.03468802944</v>
      </c>
      <c r="G20" s="11">
        <f t="shared" si="0"/>
        <v>250000</v>
      </c>
      <c r="H20" s="11">
        <f t="shared" si="1"/>
        <v>176534.29173402837</v>
      </c>
      <c r="I20" s="11">
        <f t="shared" si="2"/>
        <v>-42578.271219973016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>
        <v>8</v>
      </c>
      <c r="B21" s="15">
        <f>'Source Inputs'!B42</f>
        <v>46349</v>
      </c>
      <c r="C21" s="11">
        <f>C20+('Source Inputs'!C42-'Source Inputs'!D42-'Source Inputs'!E42-'Source Inputs'!F42-'Source Inputs'!G42-'Source Inputs'!H42-'Source Inputs'!I42)</f>
        <v>480703.57173402829</v>
      </c>
      <c r="D21" s="11">
        <f>D20+('Source Inputs'!C42*$B$7-'Source Inputs'!D42*$C$7-'Source Inputs'!E42-'Source Inputs'!F42-'Source Inputs'!G42*$D$7-'Source Inputs'!H42*$E$7-'Source Inputs'!I42)</f>
        <v>260337.89173402838</v>
      </c>
      <c r="E21" s="11">
        <f>E20+('Source Inputs'!C42*$B$8-'Source Inputs'!D42*$C$8-'Source Inputs'!E42-'Source Inputs'!F42-'Source Inputs'!G42*$D$8-'Source Inputs'!H42*$E$8-'Source Inputs'!I42)</f>
        <v>22140.128780026978</v>
      </c>
      <c r="F21" s="11">
        <f>F20+('Source Inputs'!C42*$B$9-'Source Inputs'!D42*$C$9-'Source Inputs'!E42-'Source Inputs'!F42-'Source Inputs'!G42*$D$9-'Source Inputs'!H42*$E$9-'Source Inputs'!I42)</f>
        <v>495464.23468802945</v>
      </c>
      <c r="G21" s="11">
        <f t="shared" si="0"/>
        <v>250000</v>
      </c>
      <c r="H21" s="11">
        <f t="shared" si="1"/>
        <v>10337.891734028381</v>
      </c>
      <c r="I21" s="11">
        <f t="shared" si="2"/>
        <v>-227859.87121997302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>
        <v>9</v>
      </c>
      <c r="B22" s="15">
        <f>'Source Inputs'!B43</f>
        <v>46356</v>
      </c>
      <c r="C22" s="11">
        <f>C21+('Source Inputs'!C43-'Source Inputs'!D43-'Source Inputs'!E43-'Source Inputs'!F43-'Source Inputs'!G43-'Source Inputs'!H43-'Source Inputs'!I43)</f>
        <v>496303.57173402829</v>
      </c>
      <c r="D22" s="11">
        <f>D21+('Source Inputs'!C43*$B$7-'Source Inputs'!D43*$C$7-'Source Inputs'!E43-'Source Inputs'!F43-'Source Inputs'!G43*$D$7-'Source Inputs'!H43*$E$7-'Source Inputs'!I43)</f>
        <v>257141.49173402839</v>
      </c>
      <c r="E22" s="11">
        <f>E21+('Source Inputs'!C43*$B$8-'Source Inputs'!D43*$C$8-'Source Inputs'!E43-'Source Inputs'!F43-'Source Inputs'!G43*$D$8-'Source Inputs'!H43*$E$8-'Source Inputs'!I43)</f>
        <v>-141.47121997303111</v>
      </c>
      <c r="F22" s="11">
        <f>F21+('Source Inputs'!C43*$B$9-'Source Inputs'!D43*$C$9-'Source Inputs'!E43-'Source Inputs'!F43-'Source Inputs'!G43*$D$9-'Source Inputs'!H43*$E$9-'Source Inputs'!I43)</f>
        <v>507531.43468802946</v>
      </c>
      <c r="G22" s="11">
        <f t="shared" si="0"/>
        <v>250000</v>
      </c>
      <c r="H22" s="11">
        <f t="shared" si="1"/>
        <v>7141.4917340283864</v>
      </c>
      <c r="I22" s="11">
        <f t="shared" si="2"/>
        <v>-250141.47121997303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>
        <v>10</v>
      </c>
      <c r="B23" s="15">
        <f>'Source Inputs'!B44</f>
        <v>46363</v>
      </c>
      <c r="C23" s="11">
        <f>C22+('Source Inputs'!C44-'Source Inputs'!D44-'Source Inputs'!E44-'Source Inputs'!F44-'Source Inputs'!G44-'Source Inputs'!H44-'Source Inputs'!I44)</f>
        <v>503903.57173402829</v>
      </c>
      <c r="D23" s="11">
        <f>D22+('Source Inputs'!C44*$B$7-'Source Inputs'!D44*$C$7-'Source Inputs'!E44-'Source Inputs'!F44-'Source Inputs'!G44*$D$7-'Source Inputs'!H44*$E$7-'Source Inputs'!I44)</f>
        <v>245945.09173402839</v>
      </c>
      <c r="E23" s="11">
        <f>E22+('Source Inputs'!C44*$B$8-'Source Inputs'!D44*$C$8-'Source Inputs'!E44-'Source Inputs'!F44-'Source Inputs'!G44*$D$8-'Source Inputs'!H44*$E$8-'Source Inputs'!I44)</f>
        <v>-30423.071219973041</v>
      </c>
      <c r="F23" s="11">
        <f>F22+('Source Inputs'!C44*$B$9-'Source Inputs'!D44*$C$9-'Source Inputs'!E44-'Source Inputs'!F44-'Source Inputs'!G44*$D$9-'Source Inputs'!H44*$E$9-'Source Inputs'!I44)</f>
        <v>511598.63468802947</v>
      </c>
      <c r="G23" s="11">
        <f t="shared" si="0"/>
        <v>250000</v>
      </c>
      <c r="H23" s="11">
        <f t="shared" si="1"/>
        <v>-4054.9082659716078</v>
      </c>
      <c r="I23" s="11">
        <f t="shared" si="2"/>
        <v>-280423.07121997303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>
        <v>11</v>
      </c>
      <c r="B24" s="15">
        <f>'Source Inputs'!B45</f>
        <v>46370</v>
      </c>
      <c r="C24" s="11">
        <f>C23+('Source Inputs'!C45-'Source Inputs'!D45-'Source Inputs'!E45-'Source Inputs'!F45-'Source Inputs'!G45-'Source Inputs'!H45-'Source Inputs'!I45)</f>
        <v>526503.57173402829</v>
      </c>
      <c r="D24" s="11">
        <f>D23+('Source Inputs'!C45*$B$7-'Source Inputs'!D45*$C$7-'Source Inputs'!E45-'Source Inputs'!F45-'Source Inputs'!G45*$D$7-'Source Inputs'!H45*$E$7-'Source Inputs'!I45)</f>
        <v>249748.6917340284</v>
      </c>
      <c r="E24" s="11">
        <f>E23+('Source Inputs'!C45*$B$8-'Source Inputs'!D45*$C$8-'Source Inputs'!E45-'Source Inputs'!F45-'Source Inputs'!G45*$D$8-'Source Inputs'!H45*$E$8-'Source Inputs'!I45)</f>
        <v>-45704.671219973054</v>
      </c>
      <c r="F24" s="11">
        <f>F23+('Source Inputs'!C45*$B$9-'Source Inputs'!D45*$C$9-'Source Inputs'!E45-'Source Inputs'!F45-'Source Inputs'!G45*$D$9-'Source Inputs'!H45*$E$9-'Source Inputs'!I45)</f>
        <v>575665.83468802948</v>
      </c>
      <c r="G24" s="11">
        <f t="shared" si="0"/>
        <v>250000</v>
      </c>
      <c r="H24" s="11">
        <f t="shared" si="1"/>
        <v>-251.30826597160194</v>
      </c>
      <c r="I24" s="11">
        <f t="shared" si="2"/>
        <v>-295704.67121997307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>
        <v>12</v>
      </c>
      <c r="B25" s="15">
        <f>'Source Inputs'!B46</f>
        <v>46377</v>
      </c>
      <c r="C25" s="11">
        <f>C24+('Source Inputs'!C46-'Source Inputs'!D46-'Source Inputs'!E46-'Source Inputs'!F46-'Source Inputs'!G46-'Source Inputs'!H46-'Source Inputs'!I46)</f>
        <v>594103.57173402829</v>
      </c>
      <c r="D25" s="11">
        <f>D24+('Source Inputs'!C46*$B$7-'Source Inputs'!D46*$C$7-'Source Inputs'!E46-'Source Inputs'!F46-'Source Inputs'!G46*$D$7-'Source Inputs'!H46*$E$7-'Source Inputs'!I46)</f>
        <v>298552.29173402837</v>
      </c>
      <c r="E25" s="11">
        <f>E24+('Source Inputs'!C46*$B$8-'Source Inputs'!D46*$C$8-'Source Inputs'!E46-'Source Inputs'!F46-'Source Inputs'!G46*$D$8-'Source Inputs'!H46*$E$8-'Source Inputs'!I46)</f>
        <v>-15986.271219973063</v>
      </c>
      <c r="F25" s="11">
        <f>F24+('Source Inputs'!C46*$B$9-'Source Inputs'!D46*$C$9-'Source Inputs'!E46-'Source Inputs'!F46-'Source Inputs'!G46*$D$9-'Source Inputs'!H46*$E$9-'Source Inputs'!I46)</f>
        <v>639733.03468802944</v>
      </c>
      <c r="G25" s="11">
        <f t="shared" si="0"/>
        <v>250000</v>
      </c>
      <c r="H25" s="11">
        <f t="shared" si="1"/>
        <v>48552.291734028375</v>
      </c>
      <c r="I25" s="11">
        <f t="shared" si="2"/>
        <v>-265986.27121997304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>
        <v>13</v>
      </c>
      <c r="B26" s="15">
        <f>'Source Inputs'!B47</f>
        <v>46384</v>
      </c>
      <c r="C26" s="11">
        <f>C25+('Source Inputs'!C47-'Source Inputs'!D47-'Source Inputs'!E47-'Source Inputs'!F47-'Source Inputs'!G47-'Source Inputs'!H47-'Source Inputs'!I47)</f>
        <v>394703.57173402829</v>
      </c>
      <c r="D26" s="11">
        <f>D25+('Source Inputs'!C47*$B$7-'Source Inputs'!D47*$C$7-'Source Inputs'!E47-'Source Inputs'!F47-'Source Inputs'!G47*$D$7-'Source Inputs'!H47*$E$7-'Source Inputs'!I47)</f>
        <v>80355.891734028381</v>
      </c>
      <c r="E26" s="11">
        <f>E25+('Source Inputs'!C47*$B$8-'Source Inputs'!D47*$C$8-'Source Inputs'!E47-'Source Inputs'!F47-'Source Inputs'!G47*$D$8-'Source Inputs'!H47*$E$8-'Source Inputs'!I47)</f>
        <v>-253267.87121997308</v>
      </c>
      <c r="F26" s="11">
        <f>F25+('Source Inputs'!C47*$B$9-'Source Inputs'!D47*$C$9-'Source Inputs'!E47-'Source Inputs'!F47-'Source Inputs'!G47*$D$9-'Source Inputs'!H47*$E$9-'Source Inputs'!I47)</f>
        <v>436800.23468802945</v>
      </c>
      <c r="G26" s="11">
        <f t="shared" si="0"/>
        <v>250000</v>
      </c>
      <c r="H26" s="11">
        <f t="shared" si="1"/>
        <v>-169644.10826597162</v>
      </c>
      <c r="I26" s="11">
        <f t="shared" si="2"/>
        <v>-503267.87121997308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26.75" customHeight="1">
      <c r="A29" s="20" t="s">
        <v>281</v>
      </c>
      <c r="B29" s="20"/>
      <c r="C29" s="20"/>
      <c r="D29" s="20"/>
      <c r="E29" s="20"/>
      <c r="F29" s="20"/>
      <c r="G29" s="20"/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6">
      <c r="A30" s="6" t="s">
        <v>23</v>
      </c>
      <c r="B30" s="6" t="s">
        <v>265</v>
      </c>
      <c r="C30" s="6" t="s">
        <v>267</v>
      </c>
      <c r="D30" s="6" t="s">
        <v>269</v>
      </c>
      <c r="E30" s="6" t="s">
        <v>271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 t="s">
        <v>282</v>
      </c>
      <c r="B31" s="11">
        <f>MIN(C14:C26)</f>
        <v>394703.57173402829</v>
      </c>
      <c r="C31" s="11">
        <f>MIN(D14:D26)</f>
        <v>80355.891734028381</v>
      </c>
      <c r="D31" s="11">
        <f>MIN(E14:E26)</f>
        <v>-253267.87121997308</v>
      </c>
      <c r="E31" s="11">
        <f>MIN(F14:F26)</f>
        <v>436800.23468802945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 t="s">
        <v>283</v>
      </c>
      <c r="B32" s="11">
        <f>C26</f>
        <v>394703.57173402829</v>
      </c>
      <c r="C32" s="11">
        <f>D26</f>
        <v>80355.891734028381</v>
      </c>
      <c r="D32" s="11">
        <f>E26</f>
        <v>-253267.87121997308</v>
      </c>
      <c r="E32" s="11">
        <f>F26</f>
        <v>436800.23468802945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 t="s">
        <v>284</v>
      </c>
      <c r="B33" s="11">
        <f>B31-$B$10</f>
        <v>144703.57173402829</v>
      </c>
      <c r="C33" s="11">
        <f>C31-$B$10</f>
        <v>-169644.10826597162</v>
      </c>
      <c r="D33" s="11">
        <f>D31-$B$10</f>
        <v>-503267.87121997308</v>
      </c>
      <c r="E33" s="11">
        <f>E31-$B$10</f>
        <v>186800.23468802945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 t="s">
        <v>285</v>
      </c>
      <c r="B34" s="1">
        <f>COUNTIF(C14:C26,"&lt;"&amp;$B$10)</f>
        <v>0</v>
      </c>
      <c r="C34" s="1">
        <f>COUNTIF(D14:D26,"&lt;"&amp;$B$10)</f>
        <v>3</v>
      </c>
      <c r="D34" s="1">
        <f>COUNTIF(E14:E26,"&lt;"&amp;$B$10)</f>
        <v>10</v>
      </c>
      <c r="E34" s="1">
        <f>COUNTIF(F14:F26,"&lt;"&amp;$B$10)</f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3">
    <mergeCell ref="A1:N1"/>
    <mergeCell ref="A3:N3"/>
    <mergeCell ref="A29:H29"/>
  </mergeCells>
  <conditionalFormatting sqref="H14:I26">
    <cfRule type="expression" dxfId="0" priority="1">
      <formula>H14&lt;0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20"/>
  <sheetViews>
    <sheetView workbookViewId="0">
      <selection sqref="A1:L1"/>
    </sheetView>
  </sheetViews>
  <sheetFormatPr baseColWidth="10" defaultColWidth="8.83203125" defaultRowHeight="15"/>
  <sheetData>
    <row r="1" spans="1:52" ht="37.25" customHeight="1">
      <c r="A1" s="22" t="s">
        <v>286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5" t="s">
        <v>287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26.75" customHeight="1">
      <c r="A5" s="20" t="s">
        <v>288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24" t="str">
        <f>"YTD revenue is £"&amp;TEXT('Source Inputs'!B7,"#,##0")&amp;", £"&amp;TEXT('Variance Investigation'!D6,"#,##0")&amp;" ahead of budget. Gross profit is £"&amp;TEXT('Variance Investigation'!D7,"#,##0")&amp;" favourable, but EBITDA is £"&amp;TEXT(ABS('Variance Investigation'!D15),"#,##0")&amp;" below plan, leaving YTD PBT at £"&amp;TEXT('Source Inputs'!B27,"#,##0")&amp;"."</f>
        <v>YTD revenue is £8,300,000, £70,000 ahead of budget. Gross profit is £37,875 favourable, but EBITDA is £35,490 below plan, leaving YTD PBT at £-197,100.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26.75" customHeight="1">
      <c r="A10" s="20" t="s">
        <v>289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24" t="str">
        <f>"The principal controllable adverse variances are salaries (£"&amp;TEXT('Variance Investigation'!D9,"#,##0")&amp;") and marketing (£"&amp;TEXT('Variance Investigation'!D10,"#,##0")&amp;"). These lines more than offset the gross-profit upside and are the main Q4 cost actions."</f>
        <v>The principal controllable adverse variances are salaries (£43,430) and marketing (£29,221). These lines more than offset the gross-profit upside and are the main Q4 cost actions.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6.75" customHeight="1">
      <c r="A15" s="20" t="s">
        <v>290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24" t="str">
        <f>"Core controls are clean: balance sheet, bank, AR and AP differences are all effectively zero. "&amp;"The doubtful-debt allowance is £"&amp;TEXT('Source Inputs'!G9,"#,##0")&amp;" versus modelled ECL of £"&amp;TEXT('Source Inputs'!G21,"#,##0")&amp;", so the remaining point is provisioning judgement rather than reconciliation failure."</f>
        <v>Core controls are clean: balance sheet, bank, AR and AP differences are all effectively zero. The doubtful-debt allowance is £35,000 versus modelled ECL of £25,758, so the remaining point is provisioning judgement rather than reconciliation failure.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26.75" customHeight="1">
      <c r="A20" s="20" t="s">
        <v>291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24" t="str">
        <f>"September DSO is "&amp;TEXT('Source Inputs'!G26,"0.0")&amp;" days, inventory is "&amp;TEXT('Source Inputs'!G27,"0.0")&amp;" days and DPO is "&amp;TEXT('Source Inputs'!G28,"0.0")&amp;" days, producing a CCC of "&amp;TEXT('Source Inputs'!G29,"0.0")&amp;" days. Management should improve collections and inventory rather than extend suppliers further."</f>
        <v>September DSO is 34.0 days, inventory is 35.8 days and DPO is 88.9 days, producing a CCC of -19.1 days. Management should improve collections and inventory rather than extend suppliers further.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26.75" customHeight="1">
      <c r="A25" s="20" t="s">
        <v>292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24" t="str">
        <f>"The base 13-week forecast retains minimum cash of £"&amp;TEXT('Cash Scenarios'!B31,"#,##0")&amp;". Downside minimum cash falls to £"&amp;TEXT('Cash Scenarios'!C31,"#,##0")&amp;", while the severe case falls to £"&amp;TEXT('Cash Scenarios'!D31,"#,##0")&amp;". The Management Action case preserves £"&amp;TEXT('Cash Scenarios'!E33,"#,##0")&amp;" of minimum headroom through collections, payment scheduling and capex deferral."</f>
        <v>The base 13-week forecast retains minimum cash of £394,704. Downside minimum cash falls to £80,356, while the severe case falls to £-253,268. The Management Action case preserves £186,800 of minimum headroom through collections, payment scheduling and capex deferral.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26.75" customHeight="1">
      <c r="A30" s="20" t="s">
        <v>293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6">
      <c r="A31" s="6" t="s">
        <v>232</v>
      </c>
      <c r="B31" s="6" t="s">
        <v>105</v>
      </c>
      <c r="C31" s="6" t="s">
        <v>106</v>
      </c>
      <c r="D31" s="6" t="s">
        <v>231</v>
      </c>
      <c r="E31" s="6" t="s">
        <v>174</v>
      </c>
      <c r="F31" s="6" t="s">
        <v>170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12">
      <c r="A32" s="5">
        <v>1</v>
      </c>
      <c r="B32" s="5" t="s">
        <v>294</v>
      </c>
      <c r="C32" s="5" t="s">
        <v>295</v>
      </c>
      <c r="D32" s="5" t="s">
        <v>296</v>
      </c>
      <c r="E32" s="5" t="s">
        <v>297</v>
      </c>
      <c r="F32" s="5" t="s">
        <v>298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96">
      <c r="A33" s="5">
        <v>2</v>
      </c>
      <c r="B33" s="5" t="s">
        <v>299</v>
      </c>
      <c r="C33" s="5" t="s">
        <v>185</v>
      </c>
      <c r="D33" s="5" t="s">
        <v>236</v>
      </c>
      <c r="E33" s="5" t="s">
        <v>300</v>
      </c>
      <c r="F33" s="5" t="s">
        <v>298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12">
      <c r="A34" s="5">
        <v>3</v>
      </c>
      <c r="B34" s="5" t="s">
        <v>301</v>
      </c>
      <c r="C34" s="5" t="s">
        <v>241</v>
      </c>
      <c r="D34" s="5" t="s">
        <v>240</v>
      </c>
      <c r="E34" s="5" t="s">
        <v>300</v>
      </c>
      <c r="F34" s="5" t="s">
        <v>298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8">
      <c r="A35" s="5">
        <v>4</v>
      </c>
      <c r="B35" s="5" t="s">
        <v>302</v>
      </c>
      <c r="C35" s="5" t="s">
        <v>126</v>
      </c>
      <c r="D35" s="5" t="s">
        <v>303</v>
      </c>
      <c r="E35" s="5" t="s">
        <v>304</v>
      </c>
      <c r="F35" s="5" t="s">
        <v>193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96">
      <c r="A36" s="5">
        <v>5</v>
      </c>
      <c r="B36" s="5" t="s">
        <v>305</v>
      </c>
      <c r="C36" s="5" t="s">
        <v>153</v>
      </c>
      <c r="D36" s="5" t="s">
        <v>306</v>
      </c>
      <c r="E36" s="5" t="s">
        <v>307</v>
      </c>
      <c r="F36" s="5" t="s">
        <v>308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13">
    <mergeCell ref="A1:L1"/>
    <mergeCell ref="A3:L3"/>
    <mergeCell ref="A5:L5"/>
    <mergeCell ref="A10:L10"/>
    <mergeCell ref="A15:L15"/>
    <mergeCell ref="A20:L20"/>
    <mergeCell ref="A25:L25"/>
    <mergeCell ref="A30:L30"/>
    <mergeCell ref="A6:L8"/>
    <mergeCell ref="A11:L13"/>
    <mergeCell ref="A16:L18"/>
    <mergeCell ref="A21:L23"/>
    <mergeCell ref="A26:L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20"/>
  <sheetViews>
    <sheetView workbookViewId="0">
      <selection activeCell="G10" sqref="G10:I11"/>
    </sheetView>
  </sheetViews>
  <sheetFormatPr baseColWidth="10" defaultColWidth="8.83203125" defaultRowHeight="15"/>
  <cols>
    <col min="7" max="7" width="10" bestFit="1" customWidth="1"/>
    <col min="8" max="8" width="11.1640625" bestFit="1" customWidth="1"/>
    <col min="9" max="9" width="15" bestFit="1" customWidth="1"/>
    <col min="10" max="10" width="10" bestFit="1" customWidth="1"/>
  </cols>
  <sheetData>
    <row r="1" spans="1:52" ht="37.25" customHeight="1">
      <c r="A1" s="22" t="s">
        <v>309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5" t="s">
        <v>310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29" t="s">
        <v>27</v>
      </c>
      <c r="B5" s="29"/>
      <c r="C5" s="29"/>
      <c r="D5" s="29" t="s">
        <v>69</v>
      </c>
      <c r="E5" s="29"/>
      <c r="F5" s="29"/>
      <c r="G5" s="29" t="s">
        <v>311</v>
      </c>
      <c r="H5" s="29"/>
      <c r="I5" s="29"/>
      <c r="J5" s="29" t="s">
        <v>312</v>
      </c>
      <c r="K5" s="29"/>
      <c r="L5" s="2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0">
        <f>'Source Inputs'!B7</f>
        <v>8300000</v>
      </c>
      <c r="B6" s="31"/>
      <c r="C6" s="31"/>
      <c r="D6" s="30">
        <f>'Source Inputs'!B25</f>
        <v>-7599.9369173431187</v>
      </c>
      <c r="E6" s="31"/>
      <c r="F6" s="31"/>
      <c r="G6" s="30">
        <f>'Variance Investigation'!D15</f>
        <v>-35489.936917343119</v>
      </c>
      <c r="H6" s="31"/>
      <c r="I6" s="31"/>
      <c r="J6" s="33">
        <f>100%</f>
        <v>1</v>
      </c>
      <c r="K6" s="31"/>
      <c r="L6" s="3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29" t="s">
        <v>79</v>
      </c>
      <c r="B9" s="29"/>
      <c r="C9" s="29"/>
      <c r="D9" s="29" t="s">
        <v>313</v>
      </c>
      <c r="E9" s="29"/>
      <c r="F9" s="29"/>
      <c r="G9" s="29" t="s">
        <v>314</v>
      </c>
      <c r="H9" s="29"/>
      <c r="I9" s="29"/>
      <c r="J9" s="29" t="s">
        <v>55</v>
      </c>
      <c r="K9" s="29"/>
      <c r="L9" s="2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32">
        <f>'Source Inputs'!G29</f>
        <v>-19.113094302061597</v>
      </c>
      <c r="B10" s="31"/>
      <c r="C10" s="31"/>
      <c r="D10" s="30">
        <f>'Cash Scenarios'!B31</f>
        <v>394703.57173402829</v>
      </c>
      <c r="E10" s="31"/>
      <c r="F10" s="31"/>
      <c r="G10" s="30">
        <f>'Cash Scenarios'!B33</f>
        <v>144703.57173402829</v>
      </c>
      <c r="H10" s="31"/>
      <c r="I10" s="31"/>
      <c r="J10" s="30">
        <f>'Source Inputs'!G17</f>
        <v>0</v>
      </c>
      <c r="K10" s="31"/>
      <c r="L10" s="3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6.75" customHeight="1">
      <c r="A14" s="20" t="s">
        <v>315</v>
      </c>
      <c r="B14" s="20"/>
      <c r="C14" s="20"/>
      <c r="D14" s="20"/>
      <c r="E14" s="20"/>
      <c r="F14" s="20" t="s">
        <v>316</v>
      </c>
      <c r="G14" s="3"/>
      <c r="H14" s="3"/>
      <c r="I14" s="3"/>
      <c r="J14" s="3"/>
      <c r="K14" s="3"/>
      <c r="L14" s="3"/>
      <c r="M14" s="3"/>
      <c r="N14" s="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32">
      <c r="A15" s="6" t="s">
        <v>97</v>
      </c>
      <c r="B15" s="6" t="s">
        <v>99</v>
      </c>
      <c r="C15" s="6" t="s">
        <v>101</v>
      </c>
      <c r="D15" s="6" t="s">
        <v>105</v>
      </c>
      <c r="E15" s="1"/>
      <c r="F15" s="6" t="s">
        <v>23</v>
      </c>
      <c r="G15" s="6" t="s">
        <v>265</v>
      </c>
      <c r="H15" s="6" t="s">
        <v>267</v>
      </c>
      <c r="I15" s="6" t="s">
        <v>269</v>
      </c>
      <c r="J15" s="6" t="s">
        <v>271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 t="s">
        <v>107</v>
      </c>
      <c r="B16" s="11">
        <f>'Variance Investigation'!D6</f>
        <v>70000</v>
      </c>
      <c r="C16" s="1" t="str">
        <f>'Variance Investigation'!F6</f>
        <v>Favourable</v>
      </c>
      <c r="D16" s="1" t="s">
        <v>317</v>
      </c>
      <c r="E16" s="1"/>
      <c r="F16" s="1" t="s">
        <v>282</v>
      </c>
      <c r="G16" s="11">
        <f>'Cash Scenarios'!B31</f>
        <v>394703.57173402829</v>
      </c>
      <c r="H16" s="11">
        <f>'Cash Scenarios'!C31</f>
        <v>80355.891734028381</v>
      </c>
      <c r="I16" s="11">
        <f>'Cash Scenarios'!D31</f>
        <v>-253267.87121997308</v>
      </c>
      <c r="J16" s="11">
        <f>'Cash Scenarios'!E31</f>
        <v>436800.23468802945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 t="s">
        <v>122</v>
      </c>
      <c r="B17" s="11">
        <f>'Variance Investigation'!D9</f>
        <v>43430.303905729437</v>
      </c>
      <c r="C17" s="1" t="str">
        <f>'Variance Investigation'!F9</f>
        <v>Adverse</v>
      </c>
      <c r="D17" s="1" t="s">
        <v>318</v>
      </c>
      <c r="E17" s="1"/>
      <c r="F17" s="1" t="s">
        <v>283</v>
      </c>
      <c r="G17" s="11">
        <f>'Cash Scenarios'!B32</f>
        <v>394703.57173402829</v>
      </c>
      <c r="H17" s="11">
        <f>'Cash Scenarios'!C32</f>
        <v>80355.891734028381</v>
      </c>
      <c r="I17" s="11">
        <f>'Cash Scenarios'!D32</f>
        <v>-253267.87121997308</v>
      </c>
      <c r="J17" s="11">
        <f>'Cash Scenarios'!E32</f>
        <v>436800.23468802945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 t="s">
        <v>127</v>
      </c>
      <c r="B18" s="11">
        <f>'Variance Investigation'!D10</f>
        <v>29220.634235161589</v>
      </c>
      <c r="C18" s="1" t="str">
        <f>'Variance Investigation'!F10</f>
        <v>Adverse</v>
      </c>
      <c r="D18" s="1" t="s">
        <v>319</v>
      </c>
      <c r="E18" s="1"/>
      <c r="F18" s="1" t="s">
        <v>284</v>
      </c>
      <c r="G18" s="11">
        <f>'Cash Scenarios'!B33</f>
        <v>144703.57173402829</v>
      </c>
      <c r="H18" s="11">
        <f>'Cash Scenarios'!C33</f>
        <v>-169644.10826597162</v>
      </c>
      <c r="I18" s="11">
        <f>'Cash Scenarios'!D33</f>
        <v>-503267.87121997308</v>
      </c>
      <c r="J18" s="11">
        <f>'Cash Scenarios'!E33</f>
        <v>186800.23468802945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 t="s">
        <v>141</v>
      </c>
      <c r="B19" s="11">
        <f>'Variance Investigation'!D13</f>
        <v>7200</v>
      </c>
      <c r="C19" s="1" t="str">
        <f>'Variance Investigation'!F13</f>
        <v>Adverse</v>
      </c>
      <c r="D19" s="1" t="s">
        <v>320</v>
      </c>
      <c r="E19" s="1"/>
      <c r="F19" s="1" t="s">
        <v>285</v>
      </c>
      <c r="G19" s="1">
        <f>'Cash Scenarios'!B34</f>
        <v>0</v>
      </c>
      <c r="H19" s="1">
        <f>'Cash Scenarios'!C34</f>
        <v>3</v>
      </c>
      <c r="I19" s="1">
        <f>'Cash Scenarios'!D34</f>
        <v>10</v>
      </c>
      <c r="J19" s="1">
        <f>'Cash Scenarios'!E34</f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 t="s">
        <v>149</v>
      </c>
      <c r="B20" s="11">
        <f>'Variance Investigation'!D15</f>
        <v>-35489.936917343119</v>
      </c>
      <c r="C20" s="1" t="str">
        <f>'Variance Investigation'!F15</f>
        <v>Adverse</v>
      </c>
      <c r="D20" s="1" t="s">
        <v>321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26.75" customHeight="1">
      <c r="A23" s="20" t="s">
        <v>322</v>
      </c>
      <c r="B23" s="20"/>
      <c r="C23" s="20"/>
      <c r="D23" s="20"/>
      <c r="E23" s="20"/>
      <c r="F23" s="20" t="s">
        <v>323</v>
      </c>
      <c r="G23" s="3"/>
      <c r="H23" s="3"/>
      <c r="I23" s="3"/>
      <c r="J23" s="3"/>
      <c r="K23" s="3"/>
      <c r="L23" s="3"/>
      <c r="M23" s="3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48">
      <c r="A24" s="6" t="s">
        <v>324</v>
      </c>
      <c r="B24" s="6" t="s">
        <v>170</v>
      </c>
      <c r="C24" s="6" t="s">
        <v>24</v>
      </c>
      <c r="D24" s="1"/>
      <c r="E24" s="1"/>
      <c r="F24" s="6" t="s">
        <v>105</v>
      </c>
      <c r="G24" s="6" t="s">
        <v>230</v>
      </c>
      <c r="H24" s="6" t="s">
        <v>232</v>
      </c>
      <c r="I24" s="6" t="s">
        <v>106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 t="s">
        <v>30</v>
      </c>
      <c r="B25" s="16" t="s">
        <v>325</v>
      </c>
      <c r="C25" s="11">
        <f>'Source Inputs'!G17</f>
        <v>0</v>
      </c>
      <c r="D25" s="1"/>
      <c r="E25" s="1"/>
      <c r="F25" s="1" t="s">
        <v>326</v>
      </c>
      <c r="G25" s="11">
        <f>'Working Capital Actions'!B15</f>
        <v>68558.333333333605</v>
      </c>
      <c r="H25" s="1" t="s">
        <v>237</v>
      </c>
      <c r="I25" s="1" t="s">
        <v>185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 t="s">
        <v>58</v>
      </c>
      <c r="B26" s="16" t="s">
        <v>325</v>
      </c>
      <c r="C26" s="11">
        <f>'Source Inputs'!G18</f>
        <v>0</v>
      </c>
      <c r="D26" s="1"/>
      <c r="E26" s="1"/>
      <c r="F26" s="1" t="s">
        <v>327</v>
      </c>
      <c r="G26" s="11">
        <f>'Working Capital Actions'!B16</f>
        <v>51592.300000000047</v>
      </c>
      <c r="H26" s="1" t="s">
        <v>237</v>
      </c>
      <c r="I26" s="1" t="s">
        <v>241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 t="s">
        <v>328</v>
      </c>
      <c r="B27" s="16" t="s">
        <v>325</v>
      </c>
      <c r="C27" s="11">
        <f>'Source Inputs'!G19</f>
        <v>0</v>
      </c>
      <c r="D27" s="1"/>
      <c r="E27" s="1"/>
      <c r="F27" s="1" t="s">
        <v>329</v>
      </c>
      <c r="G27" s="11">
        <f>'Working Capital Actions'!B17</f>
        <v>55394.847425289765</v>
      </c>
      <c r="H27" s="1" t="s">
        <v>237</v>
      </c>
      <c r="I27" s="1" t="s">
        <v>185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 t="s">
        <v>330</v>
      </c>
      <c r="B28" s="16" t="s">
        <v>325</v>
      </c>
      <c r="C28" s="11">
        <f>'Source Inputs'!G20</f>
        <v>2.3283064365386963E-10</v>
      </c>
      <c r="D28" s="1"/>
      <c r="E28" s="1"/>
      <c r="F28" s="1" t="s">
        <v>331</v>
      </c>
      <c r="G28" s="11">
        <f>'Working Capital Actions'!B18</f>
        <v>175545.48075862342</v>
      </c>
      <c r="H28" s="1" t="s">
        <v>237</v>
      </c>
      <c r="I28" s="1" t="s">
        <v>126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 t="s">
        <v>332</v>
      </c>
      <c r="B29" s="17" t="s">
        <v>333</v>
      </c>
      <c r="C29" s="11">
        <f>'Source Inputs'!G9-'Source Inputs'!G21</f>
        <v>9241.8350274937948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26.75" customHeight="1">
      <c r="A32" s="20" t="s">
        <v>334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28" t="str">
        <f>'CFO Commentary'!A6&amp;CHAR(10)&amp;CHAR(10)&amp;'CFO Commentary'!A11&amp;CHAR(10)&amp;CHAR(10)&amp;'CFO Commentary'!A16&amp;CHAR(10)&amp;CHAR(10)&amp;'CFO Commentary'!A21&amp;CHAR(10)&amp;CHAR(10)&amp;'CFO Commentary'!A26</f>
        <v>YTD revenue is £8,300,000, £70,000 ahead of budget. Gross profit is £37,875 favourable, but EBITDA is £35,490 below plan, leaving YTD PBT at £-197,100.
The principal controllable adverse variances are salaries (£43,430) and marketing (£29,221). These lines more than offset the gross-profit upside and are the main Q4 cost actions.
Core controls are clean: balance sheet, bank, AR and AP differences are all effectively zero. The doubtful-debt allowance is £35,000 versus modelled ECL of £25,758, so the remaining point is provisioning judgement rather than reconciliation failure.
September DSO is 34.0 days, inventory is 35.8 days and DPO is 88.9 days, producing a CCC of -19.1 days. Management should improve collections and inventory rather than extend suppliers further.
The base 13-week forecast retains minimum cash of £394,704. Downside minimum cash falls to £80,356, while the severe case falls to £-253,268. The Management Action case preserves £186,800 of minimum headroom through collections, payment scheduling and capex deferral.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26.75" customHeight="1">
      <c r="A43" s="20" t="s">
        <v>335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6">
      <c r="A44" s="6" t="s">
        <v>232</v>
      </c>
      <c r="B44" s="6" t="s">
        <v>105</v>
      </c>
      <c r="C44" s="6" t="s">
        <v>106</v>
      </c>
      <c r="D44" s="6" t="s">
        <v>231</v>
      </c>
      <c r="E44" s="6" t="s">
        <v>174</v>
      </c>
      <c r="F44" s="6" t="s">
        <v>170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96">
      <c r="A45" s="5">
        <v>1</v>
      </c>
      <c r="B45" s="5" t="s">
        <v>336</v>
      </c>
      <c r="C45" s="5" t="s">
        <v>295</v>
      </c>
      <c r="D45" s="5" t="s">
        <v>296</v>
      </c>
      <c r="E45" s="5" t="s">
        <v>297</v>
      </c>
      <c r="F45" s="5" t="s">
        <v>298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80">
      <c r="A46" s="5">
        <v>2</v>
      </c>
      <c r="B46" s="5" t="s">
        <v>337</v>
      </c>
      <c r="C46" s="5" t="s">
        <v>185</v>
      </c>
      <c r="D46" s="5" t="s">
        <v>236</v>
      </c>
      <c r="E46" s="5" t="s">
        <v>300</v>
      </c>
      <c r="F46" s="5" t="s">
        <v>298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48">
      <c r="A47" s="5">
        <v>3</v>
      </c>
      <c r="B47" s="5" t="s">
        <v>338</v>
      </c>
      <c r="C47" s="5" t="s">
        <v>241</v>
      </c>
      <c r="D47" s="5" t="s">
        <v>240</v>
      </c>
      <c r="E47" s="5" t="s">
        <v>300</v>
      </c>
      <c r="F47" s="5" t="s">
        <v>298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12">
      <c r="A48" s="5">
        <v>4</v>
      </c>
      <c r="B48" s="5" t="s">
        <v>339</v>
      </c>
      <c r="C48" s="5" t="s">
        <v>206</v>
      </c>
      <c r="D48" s="5" t="s">
        <v>306</v>
      </c>
      <c r="E48" s="5" t="s">
        <v>300</v>
      </c>
      <c r="F48" s="5" t="s">
        <v>308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44">
      <c r="A49" s="5">
        <v>5</v>
      </c>
      <c r="B49" s="5" t="s">
        <v>340</v>
      </c>
      <c r="C49" s="5" t="s">
        <v>153</v>
      </c>
      <c r="D49" s="5" t="s">
        <v>306</v>
      </c>
      <c r="E49" s="5" t="s">
        <v>307</v>
      </c>
      <c r="F49" s="5" t="s">
        <v>308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23">
    <mergeCell ref="A1:N1"/>
    <mergeCell ref="A3:N3"/>
    <mergeCell ref="A5:C5"/>
    <mergeCell ref="A6:C7"/>
    <mergeCell ref="D5:F5"/>
    <mergeCell ref="D6:F7"/>
    <mergeCell ref="G5:I5"/>
    <mergeCell ref="G6:I7"/>
    <mergeCell ref="J5:L5"/>
    <mergeCell ref="J6:L7"/>
    <mergeCell ref="A33:N40"/>
    <mergeCell ref="A43:N43"/>
    <mergeCell ref="J9:L9"/>
    <mergeCell ref="J10:L11"/>
    <mergeCell ref="A14:F14"/>
    <mergeCell ref="A23:F23"/>
    <mergeCell ref="A32:N32"/>
    <mergeCell ref="A9:C9"/>
    <mergeCell ref="A10:C11"/>
    <mergeCell ref="D9:F9"/>
    <mergeCell ref="D10:F11"/>
    <mergeCell ref="G9:I9"/>
    <mergeCell ref="G10:I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120"/>
  <sheetViews>
    <sheetView tabSelected="1" workbookViewId="0">
      <selection sqref="A1:N1"/>
    </sheetView>
  </sheetViews>
  <sheetFormatPr baseColWidth="10" defaultColWidth="8.83203125" defaultRowHeight="15"/>
  <sheetData>
    <row r="1" spans="1:52" ht="37.25" customHeight="1">
      <c r="A1" s="22" t="s">
        <v>341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23" t="s">
        <v>342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26.75" customHeight="1">
      <c r="A5" s="20" t="s">
        <v>343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24" t="s">
        <v>344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26.75" customHeight="1">
      <c r="A12" s="20" t="s">
        <v>345</v>
      </c>
      <c r="B12" s="20"/>
      <c r="C12" s="20"/>
      <c r="D12" s="20"/>
      <c r="E12" s="20"/>
      <c r="F12" s="20"/>
      <c r="G12" s="1"/>
      <c r="H12" s="20" t="s">
        <v>346</v>
      </c>
      <c r="I12" s="20"/>
      <c r="J12" s="20"/>
      <c r="K12" s="20"/>
      <c r="L12" s="20"/>
      <c r="M12" s="20"/>
      <c r="N12" s="2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6">
      <c r="A13" s="4" t="s">
        <v>347</v>
      </c>
      <c r="B13" s="18" t="s">
        <v>348</v>
      </c>
      <c r="C13" s="18"/>
      <c r="D13" s="18"/>
      <c r="E13" s="18"/>
      <c r="F13" s="18"/>
      <c r="G13" s="1"/>
      <c r="H13" s="6" t="s">
        <v>324</v>
      </c>
      <c r="I13" s="6" t="s">
        <v>170</v>
      </c>
      <c r="J13" s="6" t="s">
        <v>24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4" t="s">
        <v>349</v>
      </c>
      <c r="B14" s="18" t="s">
        <v>350</v>
      </c>
      <c r="C14" s="18"/>
      <c r="D14" s="18"/>
      <c r="E14" s="18"/>
      <c r="F14" s="18"/>
      <c r="G14" s="1"/>
      <c r="H14" s="1" t="s">
        <v>351</v>
      </c>
      <c r="I14" s="16" t="s">
        <v>325</v>
      </c>
      <c r="J14" s="11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4" t="s">
        <v>352</v>
      </c>
      <c r="B15" s="18" t="s">
        <v>353</v>
      </c>
      <c r="C15" s="18"/>
      <c r="D15" s="18"/>
      <c r="E15" s="18"/>
      <c r="F15" s="18"/>
      <c r="G15" s="1"/>
      <c r="H15" s="1" t="s">
        <v>30</v>
      </c>
      <c r="I15" s="16" t="s">
        <v>325</v>
      </c>
      <c r="J15" s="11">
        <f>'Source Inputs'!G17</f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4" t="s">
        <v>354</v>
      </c>
      <c r="B16" s="18" t="s">
        <v>355</v>
      </c>
      <c r="C16" s="18"/>
      <c r="D16" s="18"/>
      <c r="E16" s="18"/>
      <c r="F16" s="18"/>
      <c r="G16" s="1"/>
      <c r="H16" s="1" t="s">
        <v>58</v>
      </c>
      <c r="I16" s="16" t="s">
        <v>325</v>
      </c>
      <c r="J16" s="11">
        <f>'Source Inputs'!G18</f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4" t="s">
        <v>356</v>
      </c>
      <c r="B17" s="18" t="s">
        <v>357</v>
      </c>
      <c r="C17" s="18"/>
      <c r="D17" s="18"/>
      <c r="E17" s="18"/>
      <c r="F17" s="18"/>
      <c r="G17" s="1"/>
      <c r="H17" s="1" t="s">
        <v>358</v>
      </c>
      <c r="I17" s="16" t="s">
        <v>325</v>
      </c>
      <c r="J17" s="11">
        <f>'Source Inputs'!G19</f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4" t="s">
        <v>359</v>
      </c>
      <c r="B18" s="18" t="s">
        <v>360</v>
      </c>
      <c r="C18" s="18"/>
      <c r="D18" s="18"/>
      <c r="E18" s="18"/>
      <c r="F18" s="18"/>
      <c r="G18" s="1"/>
      <c r="H18" s="1" t="s">
        <v>361</v>
      </c>
      <c r="I18" s="16" t="s">
        <v>325</v>
      </c>
      <c r="J18" s="11">
        <f>'Source Inputs'!G20</f>
        <v>2.3283064365386963E-10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4" t="s">
        <v>362</v>
      </c>
      <c r="B19" s="18" t="s">
        <v>363</v>
      </c>
      <c r="C19" s="18"/>
      <c r="D19" s="18"/>
      <c r="E19" s="18"/>
      <c r="F19" s="18"/>
      <c r="G19" s="1"/>
      <c r="H19" s="1" t="s">
        <v>364</v>
      </c>
      <c r="I19" s="1" t="s">
        <v>365</v>
      </c>
      <c r="J19" s="12">
        <v>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4" t="s">
        <v>366</v>
      </c>
      <c r="B20" s="18" t="s">
        <v>367</v>
      </c>
      <c r="C20" s="18"/>
      <c r="D20" s="18"/>
      <c r="E20" s="18"/>
      <c r="F20" s="1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26.75" customHeight="1">
      <c r="A23" s="20" t="s">
        <v>368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2" t="s">
        <v>107</v>
      </c>
      <c r="B24" s="19" t="s">
        <v>369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2" t="s">
        <v>149</v>
      </c>
      <c r="B25" s="19" t="s">
        <v>370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2" t="s">
        <v>359</v>
      </c>
      <c r="B26" s="19" t="s">
        <v>371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2" t="s">
        <v>73</v>
      </c>
      <c r="B27" s="19" t="s">
        <v>372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2" t="s">
        <v>292</v>
      </c>
      <c r="B28" s="19" t="s">
        <v>373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2" t="s">
        <v>303</v>
      </c>
      <c r="B29" s="19" t="s">
        <v>374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26.75" customHeight="1">
      <c r="A32" s="20" t="s">
        <v>375</v>
      </c>
      <c r="B32" s="20"/>
      <c r="C32" s="20"/>
      <c r="D32" s="20"/>
      <c r="E32" s="20"/>
      <c r="F32" s="20"/>
      <c r="G32" s="20"/>
      <c r="H32" s="20" t="s">
        <v>376</v>
      </c>
      <c r="I32" s="20"/>
      <c r="J32" s="20"/>
      <c r="K32" s="20"/>
      <c r="L32" s="20"/>
      <c r="M32" s="20"/>
      <c r="N32" s="2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4" t="s">
        <v>377</v>
      </c>
      <c r="B33" s="18" t="s">
        <v>378</v>
      </c>
      <c r="C33" s="18"/>
      <c r="D33" s="18"/>
      <c r="E33" s="18"/>
      <c r="F33" s="18"/>
      <c r="G33" s="1"/>
      <c r="H33" s="21" t="s">
        <v>379</v>
      </c>
      <c r="I33" s="21"/>
      <c r="J33" s="21"/>
      <c r="K33" s="21"/>
      <c r="L33" s="21"/>
      <c r="M33" s="21"/>
      <c r="N33" s="2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4" t="s">
        <v>380</v>
      </c>
      <c r="B34" s="18" t="s">
        <v>381</v>
      </c>
      <c r="C34" s="18"/>
      <c r="D34" s="18"/>
      <c r="E34" s="18"/>
      <c r="F34" s="18"/>
      <c r="G34" s="1"/>
      <c r="H34" s="21"/>
      <c r="I34" s="21"/>
      <c r="J34" s="21"/>
      <c r="K34" s="21"/>
      <c r="L34" s="21"/>
      <c r="M34" s="21"/>
      <c r="N34" s="2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4" t="s">
        <v>30</v>
      </c>
      <c r="B35" s="18" t="s">
        <v>382</v>
      </c>
      <c r="C35" s="18"/>
      <c r="D35" s="18"/>
      <c r="E35" s="18"/>
      <c r="F35" s="18"/>
      <c r="G35" s="1"/>
      <c r="H35" s="21"/>
      <c r="I35" s="21"/>
      <c r="J35" s="21"/>
      <c r="K35" s="21"/>
      <c r="L35" s="21"/>
      <c r="M35" s="21"/>
      <c r="N35" s="2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4" t="s">
        <v>73</v>
      </c>
      <c r="B36" s="18" t="s">
        <v>383</v>
      </c>
      <c r="C36" s="18"/>
      <c r="D36" s="18"/>
      <c r="E36" s="18"/>
      <c r="F36" s="18"/>
      <c r="G36" s="1"/>
      <c r="H36" s="21"/>
      <c r="I36" s="21"/>
      <c r="J36" s="21"/>
      <c r="K36" s="21"/>
      <c r="L36" s="21"/>
      <c r="M36" s="21"/>
      <c r="N36" s="2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4" t="s">
        <v>362</v>
      </c>
      <c r="B37" s="18" t="s">
        <v>384</v>
      </c>
      <c r="C37" s="18"/>
      <c r="D37" s="18"/>
      <c r="E37" s="18"/>
      <c r="F37" s="18"/>
      <c r="G37" s="1"/>
      <c r="H37" s="21"/>
      <c r="I37" s="21"/>
      <c r="J37" s="21"/>
      <c r="K37" s="21"/>
      <c r="L37" s="21"/>
      <c r="M37" s="21"/>
      <c r="N37" s="2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4" t="s">
        <v>385</v>
      </c>
      <c r="B38" s="18" t="s">
        <v>386</v>
      </c>
      <c r="C38" s="18"/>
      <c r="D38" s="18"/>
      <c r="E38" s="18"/>
      <c r="F38" s="18"/>
      <c r="G38" s="1"/>
      <c r="H38" s="21"/>
      <c r="I38" s="21"/>
      <c r="J38" s="21"/>
      <c r="K38" s="21"/>
      <c r="L38" s="21"/>
      <c r="M38" s="21"/>
      <c r="N38" s="2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4" t="s">
        <v>387</v>
      </c>
      <c r="B39" s="18" t="s">
        <v>388</v>
      </c>
      <c r="C39" s="18"/>
      <c r="D39" s="18"/>
      <c r="E39" s="18"/>
      <c r="F39" s="18"/>
      <c r="G39" s="1"/>
      <c r="H39" s="21"/>
      <c r="I39" s="21"/>
      <c r="J39" s="21"/>
      <c r="K39" s="21"/>
      <c r="L39" s="21"/>
      <c r="M39" s="21"/>
      <c r="N39" s="2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4" t="s">
        <v>389</v>
      </c>
      <c r="B40" s="18" t="s">
        <v>390</v>
      </c>
      <c r="C40" s="18"/>
      <c r="D40" s="18"/>
      <c r="E40" s="18"/>
      <c r="F40" s="18"/>
      <c r="G40" s="1"/>
      <c r="H40" s="21"/>
      <c r="I40" s="21"/>
      <c r="J40" s="21"/>
      <c r="K40" s="21"/>
      <c r="L40" s="21"/>
      <c r="M40" s="21"/>
      <c r="N40" s="2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</sheetData>
  <mergeCells count="31">
    <mergeCell ref="A1:N1"/>
    <mergeCell ref="A3:N3"/>
    <mergeCell ref="A5:N5"/>
    <mergeCell ref="A6:N10"/>
    <mergeCell ref="A12:F12"/>
    <mergeCell ref="B18:F18"/>
    <mergeCell ref="B19:F19"/>
    <mergeCell ref="B20:F20"/>
    <mergeCell ref="H12:N12"/>
    <mergeCell ref="A23:N23"/>
    <mergeCell ref="B13:F13"/>
    <mergeCell ref="B14:F14"/>
    <mergeCell ref="B15:F15"/>
    <mergeCell ref="B16:F16"/>
    <mergeCell ref="B17:F17"/>
    <mergeCell ref="B24:N24"/>
    <mergeCell ref="B25:N25"/>
    <mergeCell ref="B26:N26"/>
    <mergeCell ref="B27:N27"/>
    <mergeCell ref="B28:N28"/>
    <mergeCell ref="B29:N29"/>
    <mergeCell ref="A32:N32"/>
    <mergeCell ref="B33:F33"/>
    <mergeCell ref="B34:F34"/>
    <mergeCell ref="B35:F35"/>
    <mergeCell ref="H33:N40"/>
    <mergeCell ref="B36:F36"/>
    <mergeCell ref="B37:F37"/>
    <mergeCell ref="B38:F38"/>
    <mergeCell ref="B39:F39"/>
    <mergeCell ref="B40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Source Inputs</vt:lpstr>
      <vt:lpstr>Variance Investigation</vt:lpstr>
      <vt:lpstr>BS Reconciliation Pack</vt:lpstr>
      <vt:lpstr>Working Capital Actions</vt:lpstr>
      <vt:lpstr>Cash Scenarios</vt:lpstr>
      <vt:lpstr>CFO Commentary</vt:lpstr>
      <vt:lpstr>CFO Management Pack</vt:lpstr>
      <vt:lpstr>Portfolio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Arpitha Manjunath</cp:lastModifiedBy>
  <dcterms:created xsi:type="dcterms:W3CDTF">2026-10-03T17:46:27Z</dcterms:created>
  <dcterms:modified xsi:type="dcterms:W3CDTF">2026-10-07T12:59:20Z</dcterms:modified>
</cp:coreProperties>
</file>